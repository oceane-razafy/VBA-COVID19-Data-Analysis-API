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_98\Desktop\ken\M2\Info quant\VBA projet 1\Final\"/>
    </mc:Choice>
  </mc:AlternateContent>
  <xr:revisionPtr revIDLastSave="0" documentId="13_ncr:1_{336051E6-DFDB-48A3-8C1B-0DBDD79E834B}" xr6:coauthVersionLast="47" xr6:coauthVersionMax="47" xr10:uidLastSave="{00000000-0000-0000-0000-000000000000}"/>
  <bookViews>
    <workbookView xWindow="-110" yWindow="-110" windowWidth="19420" windowHeight="10420" xr2:uid="{CA646CD4-530F-42C0-A07C-3D6099024B27}"/>
  </bookViews>
  <sheets>
    <sheet name="Extraction des données" sheetId="4" r:id="rId1"/>
    <sheet name="Infection" sheetId="2" r:id="rId2"/>
    <sheet name="Deces" sheetId="3" r:id="rId3"/>
    <sheet name="TauxDeces" sheetId="5" r:id="rId4"/>
  </sheets>
  <functionGroups builtInGroupCount="19"/>
  <definedNames>
    <definedName name="date_test">#REF!</definedName>
    <definedName name="markup1_value">#REF!</definedName>
    <definedName name="markup2_value">#REF!</definedName>
    <definedName name="markup3_value">#REF!</definedName>
    <definedName name="PAYS">'Extraction des données'!$F$17:$H$17</definedName>
    <definedName name="pays1">'Extraction des données'!$F$17</definedName>
    <definedName name="pays2">'Extraction des données'!$G$17</definedName>
    <definedName name="pays3">'Extraction des données'!$H$17</definedName>
    <definedName name="Result">#REF!</definedName>
    <definedName name="rg_deces">Deces!$A$3:$D$33</definedName>
    <definedName name="rg_infection">Infection!$A$3:$D$33</definedName>
    <definedName name="rg_tauxdeces">TauxDeces!$A$3:$D$33</definedName>
    <definedName name="shortjson">#REF!</definedName>
    <definedName name="test_result">#REF!</definedName>
    <definedName name="test_resultwithdate">#REF!</definedName>
    <definedName name="URL">'Extraction des données'!$E$20</definedName>
    <definedName name="URL_2">#REF!</definedName>
    <definedName name="URL_test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D2" i="5"/>
  <c r="C2" i="5"/>
  <c r="B2" i="5"/>
  <c r="D2" i="3"/>
  <c r="C2" i="3"/>
  <c r="B2" i="3"/>
  <c r="D2" i="2"/>
  <c r="C2" i="2"/>
</calcChain>
</file>

<file path=xl/sharedStrings.xml><?xml version="1.0" encoding="utf-8"?>
<sst xmlns="http://schemas.openxmlformats.org/spreadsheetml/2006/main" count="219" uniqueCount="214">
  <si>
    <t>Date</t>
  </si>
  <si>
    <t>https://coronavirus.politologue.com/data/coronavirus/coronacsv.aspx?format=json</t>
  </si>
  <si>
    <t>Nombre de décès</t>
  </si>
  <si>
    <t>Pays n°1</t>
  </si>
  <si>
    <t>Nombre d'infections</t>
  </si>
  <si>
    <t>Pays n°2</t>
  </si>
  <si>
    <t>Pays n°3</t>
  </si>
  <si>
    <t xml:space="preserve">source (url) : </t>
  </si>
  <si>
    <t>ANALYSE DE
 L'EVOLUTION DU COVID DURANT LES 31 DERNIERS JOURS DANS 
3 PAYS DU MONDE</t>
  </si>
  <si>
    <t>France</t>
  </si>
  <si>
    <t>Italie</t>
  </si>
  <si>
    <t>Espagne</t>
  </si>
  <si>
    <t>Taïwan</t>
  </si>
  <si>
    <t>Cambodge</t>
  </si>
  <si>
    <t>Brésil</t>
  </si>
  <si>
    <t>Chine</t>
  </si>
  <si>
    <t>Taux de décès (en %)</t>
  </si>
  <si>
    <t>Madagascar</t>
  </si>
  <si>
    <t>Inde</t>
  </si>
  <si>
    <t>Vanuatu</t>
  </si>
  <si>
    <t>Israël</t>
  </si>
  <si>
    <t>Sainte-Lucie</t>
  </si>
  <si>
    <t>Andorre</t>
  </si>
  <si>
    <t>Émirats Arabes Unis</t>
  </si>
  <si>
    <t>Afghanistan</t>
  </si>
  <si>
    <t>Antigua-et-Barbuda</t>
  </si>
  <si>
    <t>Albanie</t>
  </si>
  <si>
    <t>Arménie</t>
  </si>
  <si>
    <t>Angola</t>
  </si>
  <si>
    <t>Argentine</t>
  </si>
  <si>
    <t>Autriche</t>
  </si>
  <si>
    <t>Australie</t>
  </si>
  <si>
    <t>Azerbaïdjan</t>
  </si>
  <si>
    <t>Bosnie-Herzégovine</t>
  </si>
  <si>
    <t>Barbade</t>
  </si>
  <si>
    <t>Bangladesh</t>
  </si>
  <si>
    <t>Belgique</t>
  </si>
  <si>
    <t>Burkina Faso</t>
  </si>
  <si>
    <t>Bulgarie</t>
  </si>
  <si>
    <t>Bahreïn</t>
  </si>
  <si>
    <t>Burundi</t>
  </si>
  <si>
    <t>Bénin</t>
  </si>
  <si>
    <t>Saint Barthélemy</t>
  </si>
  <si>
    <t>Brunéi Darussalam</t>
  </si>
  <si>
    <t>Bolivie</t>
  </si>
  <si>
    <t>Bahamas</t>
  </si>
  <si>
    <t>Bhoutan</t>
  </si>
  <si>
    <t>Botswana</t>
  </si>
  <si>
    <t>Bélarus</t>
  </si>
  <si>
    <t>Belize</t>
  </si>
  <si>
    <t>Canada</t>
  </si>
  <si>
    <t>Rép. Dém. du Congo</t>
  </si>
  <si>
    <t>République Centrafricaine</t>
  </si>
  <si>
    <t>Congo (Brazzaville)</t>
  </si>
  <si>
    <t>Suisse</t>
  </si>
  <si>
    <t>Côte d'Ivoire</t>
  </si>
  <si>
    <t>Chili</t>
  </si>
  <si>
    <t>Cameroun</t>
  </si>
  <si>
    <t>Colombie</t>
  </si>
  <si>
    <t>Costa Rica</t>
  </si>
  <si>
    <t>Cuba</t>
  </si>
  <si>
    <t>Cap-vert</t>
  </si>
  <si>
    <t>Chypre</t>
  </si>
  <si>
    <t>République Tchèque</t>
  </si>
  <si>
    <t>Allemagne</t>
  </si>
  <si>
    <t>Djibouti</t>
  </si>
  <si>
    <t>Danemark</t>
  </si>
  <si>
    <t>Dominique</t>
  </si>
  <si>
    <t>République Dominicaine</t>
  </si>
  <si>
    <t>Algérie</t>
  </si>
  <si>
    <t>Équateur</t>
  </si>
  <si>
    <t>Estonie</t>
  </si>
  <si>
    <t>Égypte</t>
  </si>
  <si>
    <t>Érythrée</t>
  </si>
  <si>
    <t>Éthiopie</t>
  </si>
  <si>
    <t>Finlande</t>
  </si>
  <si>
    <t>Fidji</t>
  </si>
  <si>
    <t>Îles Féroé</t>
  </si>
  <si>
    <t>Gabon</t>
  </si>
  <si>
    <t>Royaume-Uni</t>
  </si>
  <si>
    <t>Grenade</t>
  </si>
  <si>
    <t>Géorgie</t>
  </si>
  <si>
    <t>Guyane Française</t>
  </si>
  <si>
    <t>Ghana</t>
  </si>
  <si>
    <t>Gibraltar</t>
  </si>
  <si>
    <t>Gambie</t>
  </si>
  <si>
    <t>Guinée</t>
  </si>
  <si>
    <t>Guadeloupe</t>
  </si>
  <si>
    <t>Guinée Équatoriale</t>
  </si>
  <si>
    <t>Grèce</t>
  </si>
  <si>
    <t>Guatemala</t>
  </si>
  <si>
    <t>Guinée-Bissau</t>
  </si>
  <si>
    <t>Guyana</t>
  </si>
  <si>
    <t>Hong-Kong</t>
  </si>
  <si>
    <t>Honduras</t>
  </si>
  <si>
    <t>Croatie</t>
  </si>
  <si>
    <t>Haïti</t>
  </si>
  <si>
    <t>Hongrie</t>
  </si>
  <si>
    <t>Indonésie</t>
  </si>
  <si>
    <t>Irlande</t>
  </si>
  <si>
    <t>Iraq</t>
  </si>
  <si>
    <t>Iran</t>
  </si>
  <si>
    <t>Islande</t>
  </si>
  <si>
    <t>Jamaïque</t>
  </si>
  <si>
    <t>Jordanie</t>
  </si>
  <si>
    <t>Japon</t>
  </si>
  <si>
    <t>Kenya</t>
  </si>
  <si>
    <t>Kirghizistan</t>
  </si>
  <si>
    <t>Kiribati</t>
  </si>
  <si>
    <t>Comores</t>
  </si>
  <si>
    <t>Saint-Kitts-et-Nevis</t>
  </si>
  <si>
    <t>Corée du Sud</t>
  </si>
  <si>
    <t>Koweït</t>
  </si>
  <si>
    <t>Kazakhstan</t>
  </si>
  <si>
    <t>Laos</t>
  </si>
  <si>
    <t>Liban</t>
  </si>
  <si>
    <t>Liechtenstein</t>
  </si>
  <si>
    <t>Sri Lanka</t>
  </si>
  <si>
    <t>Libéria</t>
  </si>
  <si>
    <t>Lesotho</t>
  </si>
  <si>
    <t>Lituanie</t>
  </si>
  <si>
    <t>Luxembourg</t>
  </si>
  <si>
    <t>Lettonie</t>
  </si>
  <si>
    <t>Libye</t>
  </si>
  <si>
    <t>Maroc</t>
  </si>
  <si>
    <t>Monaco</t>
  </si>
  <si>
    <t>Moldavie</t>
  </si>
  <si>
    <t>Montenegro</t>
  </si>
  <si>
    <t>Saint Martin</t>
  </si>
  <si>
    <t>Îles Marshall</t>
  </si>
  <si>
    <t>Macédoine</t>
  </si>
  <si>
    <t>Mali</t>
  </si>
  <si>
    <t>Birmanie</t>
  </si>
  <si>
    <t>Mongolie</t>
  </si>
  <si>
    <t>Macao</t>
  </si>
  <si>
    <t>Martinique</t>
  </si>
  <si>
    <t>Mauritanie</t>
  </si>
  <si>
    <t>Malte</t>
  </si>
  <si>
    <t>Maurice</t>
  </si>
  <si>
    <t>Maldives</t>
  </si>
  <si>
    <t>Malawi</t>
  </si>
  <si>
    <t>Mexique</t>
  </si>
  <si>
    <t>Malaisie</t>
  </si>
  <si>
    <t>Mozambique</t>
  </si>
  <si>
    <t>Namibie</t>
  </si>
  <si>
    <t>Nouvelle-Calédonie</t>
  </si>
  <si>
    <t>Niger</t>
  </si>
  <si>
    <t>Nigéria</t>
  </si>
  <si>
    <t>Nicaragua</t>
  </si>
  <si>
    <t>Pays-Bas</t>
  </si>
  <si>
    <t>Norvège</t>
  </si>
  <si>
    <t>Népal</t>
  </si>
  <si>
    <t>Nouvelle-Zélande</t>
  </si>
  <si>
    <t>Oman</t>
  </si>
  <si>
    <t>Panama</t>
  </si>
  <si>
    <t>Pérou</t>
  </si>
  <si>
    <t>Polynésie Française</t>
  </si>
  <si>
    <t>Papouasie-Nouvelle-Guinée</t>
  </si>
  <si>
    <t>Philippines</t>
  </si>
  <si>
    <t>Pakistan</t>
  </si>
  <si>
    <t>Pologne</t>
  </si>
  <si>
    <t>Palestine</t>
  </si>
  <si>
    <t>Portugal</t>
  </si>
  <si>
    <t>Palaos</t>
  </si>
  <si>
    <t>Paraguay</t>
  </si>
  <si>
    <t>Qatar</t>
  </si>
  <si>
    <t>Réunion</t>
  </si>
  <si>
    <t>Roumanie</t>
  </si>
  <si>
    <t>Serbie</t>
  </si>
  <si>
    <t>Russie</t>
  </si>
  <si>
    <t>Rwanda</t>
  </si>
  <si>
    <t>Arabie Saoudite</t>
  </si>
  <si>
    <t>Îles Salomon</t>
  </si>
  <si>
    <t>Seychelles</t>
  </si>
  <si>
    <t>Soudan</t>
  </si>
  <si>
    <t>Suède</t>
  </si>
  <si>
    <t>Singapour</t>
  </si>
  <si>
    <t>Slovénie</t>
  </si>
  <si>
    <t>Slovaquie</t>
  </si>
  <si>
    <t>Sierra Leone</t>
  </si>
  <si>
    <t>Saint-Marin</t>
  </si>
  <si>
    <t>Sénégal</t>
  </si>
  <si>
    <t>Somalie</t>
  </si>
  <si>
    <t>Suriname</t>
  </si>
  <si>
    <t>Soudan du sud</t>
  </si>
  <si>
    <t>Sao Tomé-et-Principe</t>
  </si>
  <si>
    <t>El Salvador</t>
  </si>
  <si>
    <t>Syrie</t>
  </si>
  <si>
    <t>Eswatini</t>
  </si>
  <si>
    <t>Tchad</t>
  </si>
  <si>
    <t>Togo</t>
  </si>
  <si>
    <t>Thaïlande</t>
  </si>
  <si>
    <t>Tadjikistan</t>
  </si>
  <si>
    <t>Timor-Leste</t>
  </si>
  <si>
    <t>Tunisie</t>
  </si>
  <si>
    <t>Turquie</t>
  </si>
  <si>
    <t>Trinité-et-Tobago</t>
  </si>
  <si>
    <t>Tanzanie</t>
  </si>
  <si>
    <t>Ukraine</t>
  </si>
  <si>
    <t>Ouganda</t>
  </si>
  <si>
    <t>États-Unis</t>
  </si>
  <si>
    <t>Uruguay</t>
  </si>
  <si>
    <t>Ouzbékistan</t>
  </si>
  <si>
    <t>Vatican</t>
  </si>
  <si>
    <t>St-Vincent / Grenadines</t>
  </si>
  <si>
    <t>Venezuela</t>
  </si>
  <si>
    <t>Viet Nam</t>
  </si>
  <si>
    <t>Samoa</t>
  </si>
  <si>
    <t>Kosovo</t>
  </si>
  <si>
    <t>Yémen</t>
  </si>
  <si>
    <t>Mayotte</t>
  </si>
  <si>
    <t>Zambie</t>
  </si>
  <si>
    <t>Zimbabwe</t>
  </si>
  <si>
    <t xml:space="preserve">Pays utilisés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</si>
</sst>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medium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3" fontId="0" fillId="0" borderId="0" xfId="0" applyNumberFormat="1"/>
    <xf numFmtId="164" fontId="0" fillId="0" borderId="0" xfId="0" applyNumberFormat="1"/>
    <xf numFmtId="0" fontId="2" fillId="0" borderId="1" xfId="0" applyFont="1" applyBorder="1"/>
    <xf numFmtId="0" fontId="4" fillId="3" borderId="11" xfId="0" applyNumberFormat="1" applyFont="1" applyFill="1" applyBorder="1"/>
    <xf numFmtId="0" fontId="4" fillId="3" borderId="11" xfId="0" quotePrefix="1" applyNumberFormat="1" applyFont="1" applyFill="1" applyBorder="1"/>
    <xf numFmtId="0" fontId="5" fillId="0" borderId="0" xfId="0" applyFont="1"/>
    <xf numFmtId="0" fontId="6" fillId="0" borderId="0" xfId="1"/>
    <xf numFmtId="14" fontId="0" fillId="0" borderId="0" xfId="0" applyNumberFormat="1"/>
    <xf numFmtId="4" fontId="0" fillId="0" borderId="0" xfId="0" applyNumberFormat="1"/>
    <xf numFmtId="0" fontId="7" fillId="0" borderId="0" xfId="0" applyFont="1"/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Infection!$B$1</c:f>
          <c:strCache>
            <c:ptCount val="1"/>
            <c:pt idx="0">
              <c:v>Nombre d'infections</c:v>
            </c:pt>
          </c:strCache>
        </c:strRef>
      </c:tx>
      <c:overlay val="0"/>
      <c:txPr>
        <a:bodyPr/>
        <a:lstStyle/>
        <a:p>
          <a:pPr>
            <a:defRPr/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Infection!$B$2</c:f>
              <c:strCache>
                <c:ptCount val="1"/>
                <c:pt idx="0">
                  <c:v>Suède</c:v>
                </c:pt>
              </c:strCache>
            </c:strRef>
          </c:tx>
          <c:xVal>
            <c:numRef>
              <c:f>Infection!$A$3:$A$33</c:f>
              <c:numCache>
                <c:formatCode>m/d/yyyy</c:formatCode>
                <c:ptCount val="31"/>
                <c:pt idx="0">
                  <c:v>44472</c:v>
                </c:pt>
                <c:pt idx="1">
                  <c:v>44471</c:v>
                </c:pt>
                <c:pt idx="2">
                  <c:v>44470</c:v>
                </c:pt>
                <c:pt idx="3">
                  <c:v>44469</c:v>
                </c:pt>
                <c:pt idx="4">
                  <c:v>44468</c:v>
                </c:pt>
                <c:pt idx="5">
                  <c:v>44467</c:v>
                </c:pt>
                <c:pt idx="6">
                  <c:v>44466</c:v>
                </c:pt>
                <c:pt idx="7">
                  <c:v>44465</c:v>
                </c:pt>
                <c:pt idx="8">
                  <c:v>44464</c:v>
                </c:pt>
                <c:pt idx="9">
                  <c:v>44463</c:v>
                </c:pt>
                <c:pt idx="10">
                  <c:v>44462</c:v>
                </c:pt>
                <c:pt idx="11">
                  <c:v>44461</c:v>
                </c:pt>
                <c:pt idx="12">
                  <c:v>44460</c:v>
                </c:pt>
                <c:pt idx="13">
                  <c:v>44459</c:v>
                </c:pt>
                <c:pt idx="14">
                  <c:v>44458</c:v>
                </c:pt>
                <c:pt idx="15">
                  <c:v>44457</c:v>
                </c:pt>
                <c:pt idx="16">
                  <c:v>44456</c:v>
                </c:pt>
                <c:pt idx="17">
                  <c:v>44455</c:v>
                </c:pt>
                <c:pt idx="18">
                  <c:v>44454</c:v>
                </c:pt>
                <c:pt idx="19">
                  <c:v>44453</c:v>
                </c:pt>
                <c:pt idx="20">
                  <c:v>44452</c:v>
                </c:pt>
                <c:pt idx="21">
                  <c:v>44451</c:v>
                </c:pt>
                <c:pt idx="22">
                  <c:v>44450</c:v>
                </c:pt>
                <c:pt idx="23">
                  <c:v>44449</c:v>
                </c:pt>
                <c:pt idx="24">
                  <c:v>44448</c:v>
                </c:pt>
                <c:pt idx="25">
                  <c:v>44447</c:v>
                </c:pt>
                <c:pt idx="26">
                  <c:v>44446</c:v>
                </c:pt>
                <c:pt idx="27">
                  <c:v>44445</c:v>
                </c:pt>
                <c:pt idx="28">
                  <c:v>44444</c:v>
                </c:pt>
                <c:pt idx="29">
                  <c:v>44443</c:v>
                </c:pt>
                <c:pt idx="30">
                  <c:v>44442</c:v>
                </c:pt>
              </c:numCache>
            </c:numRef>
          </c:xVal>
          <c:yVal>
            <c:numRef>
              <c:f>Infection!$B$3:$B$33</c:f>
              <c:numCache>
                <c:formatCode>#,##0</c:formatCode>
                <c:ptCount val="31"/>
                <c:pt idx="0">
                  <c:v>1153655</c:v>
                </c:pt>
                <c:pt idx="1">
                  <c:v>1153655</c:v>
                </c:pt>
                <c:pt idx="2">
                  <c:v>1153655</c:v>
                </c:pt>
                <c:pt idx="3">
                  <c:v>1152886</c:v>
                </c:pt>
                <c:pt idx="4">
                  <c:v>1152027</c:v>
                </c:pt>
                <c:pt idx="5">
                  <c:v>1151173</c:v>
                </c:pt>
                <c:pt idx="6">
                  <c:v>1149407</c:v>
                </c:pt>
                <c:pt idx="7">
                  <c:v>1149407</c:v>
                </c:pt>
                <c:pt idx="8">
                  <c:v>1149407</c:v>
                </c:pt>
                <c:pt idx="9">
                  <c:v>1149407</c:v>
                </c:pt>
                <c:pt idx="10">
                  <c:v>1148641</c:v>
                </c:pt>
                <c:pt idx="11">
                  <c:v>1147879</c:v>
                </c:pt>
                <c:pt idx="12">
                  <c:v>1146968</c:v>
                </c:pt>
                <c:pt idx="13">
                  <c:v>1144982</c:v>
                </c:pt>
                <c:pt idx="14">
                  <c:v>1144982</c:v>
                </c:pt>
                <c:pt idx="15">
                  <c:v>1144982</c:v>
                </c:pt>
                <c:pt idx="16">
                  <c:v>1144982</c:v>
                </c:pt>
                <c:pt idx="17">
                  <c:v>1143973</c:v>
                </c:pt>
                <c:pt idx="18">
                  <c:v>1142770</c:v>
                </c:pt>
                <c:pt idx="19">
                  <c:v>1141673</c:v>
                </c:pt>
                <c:pt idx="20">
                  <c:v>1138017</c:v>
                </c:pt>
                <c:pt idx="21">
                  <c:v>1138017</c:v>
                </c:pt>
                <c:pt idx="22">
                  <c:v>1138017</c:v>
                </c:pt>
                <c:pt idx="23">
                  <c:v>1138017</c:v>
                </c:pt>
                <c:pt idx="24">
                  <c:v>1136535</c:v>
                </c:pt>
                <c:pt idx="25">
                  <c:v>1135160</c:v>
                </c:pt>
                <c:pt idx="26">
                  <c:v>1133449</c:v>
                </c:pt>
                <c:pt idx="27">
                  <c:v>1130525</c:v>
                </c:pt>
                <c:pt idx="28">
                  <c:v>1130525</c:v>
                </c:pt>
                <c:pt idx="29">
                  <c:v>1130525</c:v>
                </c:pt>
                <c:pt idx="30">
                  <c:v>1130525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68-42A3-BBAE-E1D41D54124C}"/>
            </c:ext>
          </c:extLst>
        </c:ser>
        <c:ser>
          <c:idx val="1"/>
          <c:order val="1"/>
          <c:tx>
            <c:strRef>
              <c:f>Infection!$C$2</c:f>
              <c:strCache>
                <c:ptCount val="1"/>
                <c:pt idx="0">
                  <c:v>Maroc</c:v>
                </c:pt>
              </c:strCache>
            </c:strRef>
          </c:tx>
          <c:xVal>
            <c:numRef>
              <c:f>Infection!$A$3:$A$33</c:f>
              <c:numCache>
                <c:formatCode>m/d/yyyy</c:formatCode>
                <c:ptCount val="31"/>
                <c:pt idx="0">
                  <c:v>44472</c:v>
                </c:pt>
                <c:pt idx="1">
                  <c:v>44471</c:v>
                </c:pt>
                <c:pt idx="2">
                  <c:v>44470</c:v>
                </c:pt>
                <c:pt idx="3">
                  <c:v>44469</c:v>
                </c:pt>
                <c:pt idx="4">
                  <c:v>44468</c:v>
                </c:pt>
                <c:pt idx="5">
                  <c:v>44467</c:v>
                </c:pt>
                <c:pt idx="6">
                  <c:v>44466</c:v>
                </c:pt>
                <c:pt idx="7">
                  <c:v>44465</c:v>
                </c:pt>
                <c:pt idx="8">
                  <c:v>44464</c:v>
                </c:pt>
                <c:pt idx="9">
                  <c:v>44463</c:v>
                </c:pt>
                <c:pt idx="10">
                  <c:v>44462</c:v>
                </c:pt>
                <c:pt idx="11">
                  <c:v>44461</c:v>
                </c:pt>
                <c:pt idx="12">
                  <c:v>44460</c:v>
                </c:pt>
                <c:pt idx="13">
                  <c:v>44459</c:v>
                </c:pt>
                <c:pt idx="14">
                  <c:v>44458</c:v>
                </c:pt>
                <c:pt idx="15">
                  <c:v>44457</c:v>
                </c:pt>
                <c:pt idx="16">
                  <c:v>44456</c:v>
                </c:pt>
                <c:pt idx="17">
                  <c:v>44455</c:v>
                </c:pt>
                <c:pt idx="18">
                  <c:v>44454</c:v>
                </c:pt>
                <c:pt idx="19">
                  <c:v>44453</c:v>
                </c:pt>
                <c:pt idx="20">
                  <c:v>44452</c:v>
                </c:pt>
                <c:pt idx="21">
                  <c:v>44451</c:v>
                </c:pt>
                <c:pt idx="22">
                  <c:v>44450</c:v>
                </c:pt>
                <c:pt idx="23">
                  <c:v>44449</c:v>
                </c:pt>
                <c:pt idx="24">
                  <c:v>44448</c:v>
                </c:pt>
                <c:pt idx="25">
                  <c:v>44447</c:v>
                </c:pt>
                <c:pt idx="26">
                  <c:v>44446</c:v>
                </c:pt>
                <c:pt idx="27">
                  <c:v>44445</c:v>
                </c:pt>
                <c:pt idx="28">
                  <c:v>44444</c:v>
                </c:pt>
                <c:pt idx="29">
                  <c:v>44443</c:v>
                </c:pt>
                <c:pt idx="30">
                  <c:v>44442</c:v>
                </c:pt>
              </c:numCache>
            </c:numRef>
          </c:xVal>
          <c:yVal>
            <c:numRef>
              <c:f>Infection!$C$3:$C$33</c:f>
              <c:numCache>
                <c:formatCode>#,##0</c:formatCode>
                <c:ptCount val="31"/>
                <c:pt idx="0">
                  <c:v>935332</c:v>
                </c:pt>
                <c:pt idx="1">
                  <c:v>934828</c:v>
                </c:pt>
                <c:pt idx="2">
                  <c:v>934007</c:v>
                </c:pt>
                <c:pt idx="3">
                  <c:v>933071</c:v>
                </c:pt>
                <c:pt idx="4">
                  <c:v>931973</c:v>
                </c:pt>
                <c:pt idx="5">
                  <c:v>930891</c:v>
                </c:pt>
                <c:pt idx="6">
                  <c:v>929699</c:v>
                </c:pt>
                <c:pt idx="7">
                  <c:v>929305</c:v>
                </c:pt>
                <c:pt idx="8">
                  <c:v>928571</c:v>
                </c:pt>
                <c:pt idx="9">
                  <c:v>927127</c:v>
                </c:pt>
                <c:pt idx="10">
                  <c:v>925507</c:v>
                </c:pt>
                <c:pt idx="11">
                  <c:v>923924</c:v>
                </c:pt>
                <c:pt idx="12">
                  <c:v>922222</c:v>
                </c:pt>
                <c:pt idx="13">
                  <c:v>920374</c:v>
                </c:pt>
                <c:pt idx="14">
                  <c:v>919681</c:v>
                </c:pt>
                <c:pt idx="15">
                  <c:v>918126</c:v>
                </c:pt>
                <c:pt idx="16">
                  <c:v>915835</c:v>
                </c:pt>
                <c:pt idx="17">
                  <c:v>913423</c:v>
                </c:pt>
                <c:pt idx="18">
                  <c:v>910991</c:v>
                </c:pt>
                <c:pt idx="19">
                  <c:v>908349</c:v>
                </c:pt>
                <c:pt idx="20">
                  <c:v>905564</c:v>
                </c:pt>
                <c:pt idx="21">
                  <c:v>904647</c:v>
                </c:pt>
                <c:pt idx="22">
                  <c:v>902694</c:v>
                </c:pt>
                <c:pt idx="23">
                  <c:v>899581</c:v>
                </c:pt>
                <c:pt idx="24">
                  <c:v>896913</c:v>
                </c:pt>
                <c:pt idx="25">
                  <c:v>893462</c:v>
                </c:pt>
                <c:pt idx="26">
                  <c:v>889532</c:v>
                </c:pt>
                <c:pt idx="27">
                  <c:v>886008</c:v>
                </c:pt>
                <c:pt idx="28">
                  <c:v>884085</c:v>
                </c:pt>
                <c:pt idx="29">
                  <c:v>881042</c:v>
                </c:pt>
                <c:pt idx="30">
                  <c:v>876732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68-42A3-BBAE-E1D41D54124C}"/>
            </c:ext>
          </c:extLst>
        </c:ser>
        <c:ser>
          <c:idx val="2"/>
          <c:order val="2"/>
          <c:tx>
            <c:strRef>
              <c:f>Infection!$D$2</c:f>
              <c:strCache>
                <c:ptCount val="1"/>
                <c:pt idx="0">
                  <c:v>Japon</c:v>
                </c:pt>
              </c:strCache>
            </c:strRef>
          </c:tx>
          <c:xVal>
            <c:numRef>
              <c:f>Infection!$A$3:$A$33</c:f>
              <c:numCache>
                <c:formatCode>m/d/yyyy</c:formatCode>
                <c:ptCount val="31"/>
                <c:pt idx="0">
                  <c:v>44472</c:v>
                </c:pt>
                <c:pt idx="1">
                  <c:v>44471</c:v>
                </c:pt>
                <c:pt idx="2">
                  <c:v>44470</c:v>
                </c:pt>
                <c:pt idx="3">
                  <c:v>44469</c:v>
                </c:pt>
                <c:pt idx="4">
                  <c:v>44468</c:v>
                </c:pt>
                <c:pt idx="5">
                  <c:v>44467</c:v>
                </c:pt>
                <c:pt idx="6">
                  <c:v>44466</c:v>
                </c:pt>
                <c:pt idx="7">
                  <c:v>44465</c:v>
                </c:pt>
                <c:pt idx="8">
                  <c:v>44464</c:v>
                </c:pt>
                <c:pt idx="9">
                  <c:v>44463</c:v>
                </c:pt>
                <c:pt idx="10">
                  <c:v>44462</c:v>
                </c:pt>
                <c:pt idx="11">
                  <c:v>44461</c:v>
                </c:pt>
                <c:pt idx="12">
                  <c:v>44460</c:v>
                </c:pt>
                <c:pt idx="13">
                  <c:v>44459</c:v>
                </c:pt>
                <c:pt idx="14">
                  <c:v>44458</c:v>
                </c:pt>
                <c:pt idx="15">
                  <c:v>44457</c:v>
                </c:pt>
                <c:pt idx="16">
                  <c:v>44456</c:v>
                </c:pt>
                <c:pt idx="17">
                  <c:v>44455</c:v>
                </c:pt>
                <c:pt idx="18">
                  <c:v>44454</c:v>
                </c:pt>
                <c:pt idx="19">
                  <c:v>44453</c:v>
                </c:pt>
                <c:pt idx="20">
                  <c:v>44452</c:v>
                </c:pt>
                <c:pt idx="21">
                  <c:v>44451</c:v>
                </c:pt>
                <c:pt idx="22">
                  <c:v>44450</c:v>
                </c:pt>
                <c:pt idx="23">
                  <c:v>44449</c:v>
                </c:pt>
                <c:pt idx="24">
                  <c:v>44448</c:v>
                </c:pt>
                <c:pt idx="25">
                  <c:v>44447</c:v>
                </c:pt>
                <c:pt idx="26">
                  <c:v>44446</c:v>
                </c:pt>
                <c:pt idx="27">
                  <c:v>44445</c:v>
                </c:pt>
                <c:pt idx="28">
                  <c:v>44444</c:v>
                </c:pt>
                <c:pt idx="29">
                  <c:v>44443</c:v>
                </c:pt>
                <c:pt idx="30">
                  <c:v>44442</c:v>
                </c:pt>
              </c:numCache>
            </c:numRef>
          </c:xVal>
          <c:yVal>
            <c:numRef>
              <c:f>Infection!$D$3:$D$33</c:f>
              <c:numCache>
                <c:formatCode>#,##0</c:formatCode>
                <c:ptCount val="31"/>
                <c:pt idx="0">
                  <c:v>1705916</c:v>
                </c:pt>
                <c:pt idx="1">
                  <c:v>1704958</c:v>
                </c:pt>
                <c:pt idx="2">
                  <c:v>1703706</c:v>
                </c:pt>
                <c:pt idx="3">
                  <c:v>1702255</c:v>
                </c:pt>
                <c:pt idx="4">
                  <c:v>1700687</c:v>
                </c:pt>
                <c:pt idx="5">
                  <c:v>1698693</c:v>
                </c:pt>
                <c:pt idx="6">
                  <c:v>1696971</c:v>
                </c:pt>
                <c:pt idx="7">
                  <c:v>1695824</c:v>
                </c:pt>
                <c:pt idx="8">
                  <c:v>1693690</c:v>
                </c:pt>
                <c:pt idx="9">
                  <c:v>1690987</c:v>
                </c:pt>
                <c:pt idx="10">
                  <c:v>1688929</c:v>
                </c:pt>
                <c:pt idx="11">
                  <c:v>1685325</c:v>
                </c:pt>
                <c:pt idx="12">
                  <c:v>1682089</c:v>
                </c:pt>
                <c:pt idx="13">
                  <c:v>1680328</c:v>
                </c:pt>
                <c:pt idx="14">
                  <c:v>1678092</c:v>
                </c:pt>
                <c:pt idx="15">
                  <c:v>1674684</c:v>
                </c:pt>
                <c:pt idx="16">
                  <c:v>1669982</c:v>
                </c:pt>
                <c:pt idx="17">
                  <c:v>1663818</c:v>
                </c:pt>
                <c:pt idx="18">
                  <c:v>1659192</c:v>
                </c:pt>
                <c:pt idx="19">
                  <c:v>1652383</c:v>
                </c:pt>
                <c:pt idx="20">
                  <c:v>1646128</c:v>
                </c:pt>
                <c:pt idx="21">
                  <c:v>1641963</c:v>
                </c:pt>
                <c:pt idx="22">
                  <c:v>1634758</c:v>
                </c:pt>
                <c:pt idx="23">
                  <c:v>1625909</c:v>
                </c:pt>
                <c:pt idx="24">
                  <c:v>1617099</c:v>
                </c:pt>
                <c:pt idx="25">
                  <c:v>1606710</c:v>
                </c:pt>
                <c:pt idx="26">
                  <c:v>1594299</c:v>
                </c:pt>
                <c:pt idx="27">
                  <c:v>1583665</c:v>
                </c:pt>
                <c:pt idx="28">
                  <c:v>1575383</c:v>
                </c:pt>
                <c:pt idx="29">
                  <c:v>1562476</c:v>
                </c:pt>
                <c:pt idx="30">
                  <c:v>1546477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68-42A3-BBAE-E1D41D541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440624"/>
        <c:axId val="1662441040"/>
      </c:scatterChart>
      <c:valAx>
        <c:axId val="1662440624"/>
        <c:scaling>
          <c:orientation val="minMax"/>
          <c:max val="44472"/>
          <c:min val="44442"/>
        </c:scaling>
        <c:delete val="0"/>
        <c:axPos val="b"/>
        <c:title>
          <c:tx>
            <c:strRef>
              <c:f>Infection!$A$1</c:f>
              <c:strCache>
                <c:ptCount val="1"/>
                <c:pt idx="0">
                  <c:v>Date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m/d/yyyy" sourceLinked="1"/>
        <c:majorTickMark val="out"/>
        <c:minorTickMark val="none"/>
        <c:tickLblPos val="nextTo"/>
        <c:crossAx val="1662441040"/>
        <c:crosses val="autoZero"/>
        <c:crossBetween val="midCat"/>
      </c:valAx>
      <c:valAx>
        <c:axId val="1662441040"/>
        <c:scaling>
          <c:orientation val="minMax"/>
          <c:min val="876732"/>
        </c:scaling>
        <c:delete val="0"/>
        <c:axPos val="l"/>
        <c:majorGridlines/>
        <c:title>
          <c:tx>
            <c:strRef>
              <c:f>Infection!$B$1</c:f>
              <c:strCache>
                <c:ptCount val="1"/>
                <c:pt idx="0">
                  <c:v>Nombre d'infections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#,##0" sourceLinked="1"/>
        <c:majorTickMark val="out"/>
        <c:minorTickMark val="none"/>
        <c:tickLblPos val="nextTo"/>
        <c:crossAx val="16624406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Deces!$B$1</c:f>
          <c:strCache>
            <c:ptCount val="1"/>
            <c:pt idx="0">
              <c:v>Nombre de décès</c:v>
            </c:pt>
          </c:strCache>
        </c:strRef>
      </c:tx>
      <c:overlay val="0"/>
      <c:txPr>
        <a:bodyPr/>
        <a:lstStyle/>
        <a:p>
          <a:pPr>
            <a:defRPr/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Deces!$B$2</c:f>
              <c:strCache>
                <c:ptCount val="1"/>
                <c:pt idx="0">
                  <c:v>Suède</c:v>
                </c:pt>
              </c:strCache>
            </c:strRef>
          </c:tx>
          <c:xVal>
            <c:numRef>
              <c:f>Deces!$A$3:$A$33</c:f>
              <c:numCache>
                <c:formatCode>m/d/yyyy</c:formatCode>
                <c:ptCount val="31"/>
                <c:pt idx="0">
                  <c:v>44472</c:v>
                </c:pt>
                <c:pt idx="1">
                  <c:v>44471</c:v>
                </c:pt>
                <c:pt idx="2">
                  <c:v>44470</c:v>
                </c:pt>
                <c:pt idx="3">
                  <c:v>44469</c:v>
                </c:pt>
                <c:pt idx="4">
                  <c:v>44468</c:v>
                </c:pt>
                <c:pt idx="5">
                  <c:v>44467</c:v>
                </c:pt>
                <c:pt idx="6">
                  <c:v>44466</c:v>
                </c:pt>
                <c:pt idx="7">
                  <c:v>44465</c:v>
                </c:pt>
                <c:pt idx="8">
                  <c:v>44464</c:v>
                </c:pt>
                <c:pt idx="9">
                  <c:v>44463</c:v>
                </c:pt>
                <c:pt idx="10">
                  <c:v>44462</c:v>
                </c:pt>
                <c:pt idx="11">
                  <c:v>44461</c:v>
                </c:pt>
                <c:pt idx="12">
                  <c:v>44460</c:v>
                </c:pt>
                <c:pt idx="13">
                  <c:v>44459</c:v>
                </c:pt>
                <c:pt idx="14">
                  <c:v>44458</c:v>
                </c:pt>
                <c:pt idx="15">
                  <c:v>44457</c:v>
                </c:pt>
                <c:pt idx="16">
                  <c:v>44456</c:v>
                </c:pt>
                <c:pt idx="17">
                  <c:v>44455</c:v>
                </c:pt>
                <c:pt idx="18">
                  <c:v>44454</c:v>
                </c:pt>
                <c:pt idx="19">
                  <c:v>44453</c:v>
                </c:pt>
                <c:pt idx="20">
                  <c:v>44452</c:v>
                </c:pt>
                <c:pt idx="21">
                  <c:v>44451</c:v>
                </c:pt>
                <c:pt idx="22">
                  <c:v>44450</c:v>
                </c:pt>
                <c:pt idx="23">
                  <c:v>44449</c:v>
                </c:pt>
                <c:pt idx="24">
                  <c:v>44448</c:v>
                </c:pt>
                <c:pt idx="25">
                  <c:v>44447</c:v>
                </c:pt>
                <c:pt idx="26">
                  <c:v>44446</c:v>
                </c:pt>
                <c:pt idx="27">
                  <c:v>44445</c:v>
                </c:pt>
                <c:pt idx="28">
                  <c:v>44444</c:v>
                </c:pt>
                <c:pt idx="29">
                  <c:v>44443</c:v>
                </c:pt>
                <c:pt idx="30">
                  <c:v>44442</c:v>
                </c:pt>
              </c:numCache>
            </c:numRef>
          </c:xVal>
          <c:yVal>
            <c:numRef>
              <c:f>Deces!$B$3:$B$33</c:f>
              <c:numCache>
                <c:formatCode>#,##0</c:formatCode>
                <c:ptCount val="31"/>
                <c:pt idx="0">
                  <c:v>14868</c:v>
                </c:pt>
                <c:pt idx="1">
                  <c:v>14868</c:v>
                </c:pt>
                <c:pt idx="2">
                  <c:v>14868</c:v>
                </c:pt>
                <c:pt idx="3">
                  <c:v>14864</c:v>
                </c:pt>
                <c:pt idx="4">
                  <c:v>14856</c:v>
                </c:pt>
                <c:pt idx="5">
                  <c:v>14850</c:v>
                </c:pt>
                <c:pt idx="6">
                  <c:v>14821</c:v>
                </c:pt>
                <c:pt idx="7">
                  <c:v>14821</c:v>
                </c:pt>
                <c:pt idx="8">
                  <c:v>14821</c:v>
                </c:pt>
                <c:pt idx="9">
                  <c:v>14821</c:v>
                </c:pt>
                <c:pt idx="10">
                  <c:v>14813</c:v>
                </c:pt>
                <c:pt idx="11">
                  <c:v>14809</c:v>
                </c:pt>
                <c:pt idx="12">
                  <c:v>14790</c:v>
                </c:pt>
                <c:pt idx="13">
                  <c:v>14775</c:v>
                </c:pt>
                <c:pt idx="14">
                  <c:v>14775</c:v>
                </c:pt>
                <c:pt idx="15">
                  <c:v>14775</c:v>
                </c:pt>
                <c:pt idx="16">
                  <c:v>14775</c:v>
                </c:pt>
                <c:pt idx="17">
                  <c:v>14753</c:v>
                </c:pt>
                <c:pt idx="18">
                  <c:v>14740</c:v>
                </c:pt>
                <c:pt idx="19">
                  <c:v>14729</c:v>
                </c:pt>
                <c:pt idx="20">
                  <c:v>14703</c:v>
                </c:pt>
                <c:pt idx="21">
                  <c:v>14703</c:v>
                </c:pt>
                <c:pt idx="22">
                  <c:v>14703</c:v>
                </c:pt>
                <c:pt idx="23">
                  <c:v>14703</c:v>
                </c:pt>
                <c:pt idx="24">
                  <c:v>14702</c:v>
                </c:pt>
                <c:pt idx="25">
                  <c:v>14700</c:v>
                </c:pt>
                <c:pt idx="26">
                  <c:v>14699</c:v>
                </c:pt>
                <c:pt idx="27">
                  <c:v>14692</c:v>
                </c:pt>
                <c:pt idx="28">
                  <c:v>14692</c:v>
                </c:pt>
                <c:pt idx="29">
                  <c:v>14692</c:v>
                </c:pt>
                <c:pt idx="30">
                  <c:v>14692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7-4D4E-B275-040DB40B3649}"/>
            </c:ext>
          </c:extLst>
        </c:ser>
        <c:ser>
          <c:idx val="1"/>
          <c:order val="1"/>
          <c:tx>
            <c:strRef>
              <c:f>Deces!$C$2</c:f>
              <c:strCache>
                <c:ptCount val="1"/>
                <c:pt idx="0">
                  <c:v>Maroc</c:v>
                </c:pt>
              </c:strCache>
            </c:strRef>
          </c:tx>
          <c:xVal>
            <c:numRef>
              <c:f>Deces!$A$3:$A$33</c:f>
              <c:numCache>
                <c:formatCode>m/d/yyyy</c:formatCode>
                <c:ptCount val="31"/>
                <c:pt idx="0">
                  <c:v>44472</c:v>
                </c:pt>
                <c:pt idx="1">
                  <c:v>44471</c:v>
                </c:pt>
                <c:pt idx="2">
                  <c:v>44470</c:v>
                </c:pt>
                <c:pt idx="3">
                  <c:v>44469</c:v>
                </c:pt>
                <c:pt idx="4">
                  <c:v>44468</c:v>
                </c:pt>
                <c:pt idx="5">
                  <c:v>44467</c:v>
                </c:pt>
                <c:pt idx="6">
                  <c:v>44466</c:v>
                </c:pt>
                <c:pt idx="7">
                  <c:v>44465</c:v>
                </c:pt>
                <c:pt idx="8">
                  <c:v>44464</c:v>
                </c:pt>
                <c:pt idx="9">
                  <c:v>44463</c:v>
                </c:pt>
                <c:pt idx="10">
                  <c:v>44462</c:v>
                </c:pt>
                <c:pt idx="11">
                  <c:v>44461</c:v>
                </c:pt>
                <c:pt idx="12">
                  <c:v>44460</c:v>
                </c:pt>
                <c:pt idx="13">
                  <c:v>44459</c:v>
                </c:pt>
                <c:pt idx="14">
                  <c:v>44458</c:v>
                </c:pt>
                <c:pt idx="15">
                  <c:v>44457</c:v>
                </c:pt>
                <c:pt idx="16">
                  <c:v>44456</c:v>
                </c:pt>
                <c:pt idx="17">
                  <c:v>44455</c:v>
                </c:pt>
                <c:pt idx="18">
                  <c:v>44454</c:v>
                </c:pt>
                <c:pt idx="19">
                  <c:v>44453</c:v>
                </c:pt>
                <c:pt idx="20">
                  <c:v>44452</c:v>
                </c:pt>
                <c:pt idx="21">
                  <c:v>44451</c:v>
                </c:pt>
                <c:pt idx="22">
                  <c:v>44450</c:v>
                </c:pt>
                <c:pt idx="23">
                  <c:v>44449</c:v>
                </c:pt>
                <c:pt idx="24">
                  <c:v>44448</c:v>
                </c:pt>
                <c:pt idx="25">
                  <c:v>44447</c:v>
                </c:pt>
                <c:pt idx="26">
                  <c:v>44446</c:v>
                </c:pt>
                <c:pt idx="27">
                  <c:v>44445</c:v>
                </c:pt>
                <c:pt idx="28">
                  <c:v>44444</c:v>
                </c:pt>
                <c:pt idx="29">
                  <c:v>44443</c:v>
                </c:pt>
                <c:pt idx="30">
                  <c:v>44442</c:v>
                </c:pt>
              </c:numCache>
            </c:numRef>
          </c:xVal>
          <c:yVal>
            <c:numRef>
              <c:f>Deces!$C$3:$C$33</c:f>
              <c:numCache>
                <c:formatCode>#,##0</c:formatCode>
                <c:ptCount val="31"/>
                <c:pt idx="0">
                  <c:v>14339</c:v>
                </c:pt>
                <c:pt idx="1">
                  <c:v>14315</c:v>
                </c:pt>
                <c:pt idx="2">
                  <c:v>14290</c:v>
                </c:pt>
                <c:pt idx="3">
                  <c:v>14267</c:v>
                </c:pt>
                <c:pt idx="4">
                  <c:v>14248</c:v>
                </c:pt>
                <c:pt idx="5">
                  <c:v>14225</c:v>
                </c:pt>
                <c:pt idx="6">
                  <c:v>14199</c:v>
                </c:pt>
                <c:pt idx="7">
                  <c:v>14167</c:v>
                </c:pt>
                <c:pt idx="8">
                  <c:v>14132</c:v>
                </c:pt>
                <c:pt idx="9">
                  <c:v>14102</c:v>
                </c:pt>
                <c:pt idx="10">
                  <c:v>14076</c:v>
                </c:pt>
                <c:pt idx="11">
                  <c:v>14040</c:v>
                </c:pt>
                <c:pt idx="12">
                  <c:v>14009</c:v>
                </c:pt>
                <c:pt idx="13">
                  <c:v>13958</c:v>
                </c:pt>
                <c:pt idx="14">
                  <c:v>13910</c:v>
                </c:pt>
                <c:pt idx="15">
                  <c:v>13876</c:v>
                </c:pt>
                <c:pt idx="16">
                  <c:v>13828</c:v>
                </c:pt>
                <c:pt idx="17">
                  <c:v>13775</c:v>
                </c:pt>
                <c:pt idx="18">
                  <c:v>13729</c:v>
                </c:pt>
                <c:pt idx="19">
                  <c:v>13683</c:v>
                </c:pt>
                <c:pt idx="20">
                  <c:v>13618</c:v>
                </c:pt>
                <c:pt idx="21">
                  <c:v>13546</c:v>
                </c:pt>
                <c:pt idx="22">
                  <c:v>13488</c:v>
                </c:pt>
                <c:pt idx="23">
                  <c:v>13436</c:v>
                </c:pt>
                <c:pt idx="24">
                  <c:v>13370</c:v>
                </c:pt>
                <c:pt idx="25">
                  <c:v>13296</c:v>
                </c:pt>
                <c:pt idx="26">
                  <c:v>13224</c:v>
                </c:pt>
                <c:pt idx="27">
                  <c:v>13145</c:v>
                </c:pt>
                <c:pt idx="28">
                  <c:v>13073</c:v>
                </c:pt>
                <c:pt idx="29">
                  <c:v>12993</c:v>
                </c:pt>
                <c:pt idx="30">
                  <c:v>12923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C7-4D4E-B275-040DB40B3649}"/>
            </c:ext>
          </c:extLst>
        </c:ser>
        <c:ser>
          <c:idx val="2"/>
          <c:order val="2"/>
          <c:tx>
            <c:strRef>
              <c:f>Deces!$D$2</c:f>
              <c:strCache>
                <c:ptCount val="1"/>
                <c:pt idx="0">
                  <c:v>Japon</c:v>
                </c:pt>
              </c:strCache>
            </c:strRef>
          </c:tx>
          <c:xVal>
            <c:numRef>
              <c:f>Deces!$A$3:$A$33</c:f>
              <c:numCache>
                <c:formatCode>m/d/yyyy</c:formatCode>
                <c:ptCount val="31"/>
                <c:pt idx="0">
                  <c:v>44472</c:v>
                </c:pt>
                <c:pt idx="1">
                  <c:v>44471</c:v>
                </c:pt>
                <c:pt idx="2">
                  <c:v>44470</c:v>
                </c:pt>
                <c:pt idx="3">
                  <c:v>44469</c:v>
                </c:pt>
                <c:pt idx="4">
                  <c:v>44468</c:v>
                </c:pt>
                <c:pt idx="5">
                  <c:v>44467</c:v>
                </c:pt>
                <c:pt idx="6">
                  <c:v>44466</c:v>
                </c:pt>
                <c:pt idx="7">
                  <c:v>44465</c:v>
                </c:pt>
                <c:pt idx="8">
                  <c:v>44464</c:v>
                </c:pt>
                <c:pt idx="9">
                  <c:v>44463</c:v>
                </c:pt>
                <c:pt idx="10">
                  <c:v>44462</c:v>
                </c:pt>
                <c:pt idx="11">
                  <c:v>44461</c:v>
                </c:pt>
                <c:pt idx="12">
                  <c:v>44460</c:v>
                </c:pt>
                <c:pt idx="13">
                  <c:v>44459</c:v>
                </c:pt>
                <c:pt idx="14">
                  <c:v>44458</c:v>
                </c:pt>
                <c:pt idx="15">
                  <c:v>44457</c:v>
                </c:pt>
                <c:pt idx="16">
                  <c:v>44456</c:v>
                </c:pt>
                <c:pt idx="17">
                  <c:v>44455</c:v>
                </c:pt>
                <c:pt idx="18">
                  <c:v>44454</c:v>
                </c:pt>
                <c:pt idx="19">
                  <c:v>44453</c:v>
                </c:pt>
                <c:pt idx="20">
                  <c:v>44452</c:v>
                </c:pt>
                <c:pt idx="21">
                  <c:v>44451</c:v>
                </c:pt>
                <c:pt idx="22">
                  <c:v>44450</c:v>
                </c:pt>
                <c:pt idx="23">
                  <c:v>44449</c:v>
                </c:pt>
                <c:pt idx="24">
                  <c:v>44448</c:v>
                </c:pt>
                <c:pt idx="25">
                  <c:v>44447</c:v>
                </c:pt>
                <c:pt idx="26">
                  <c:v>44446</c:v>
                </c:pt>
                <c:pt idx="27">
                  <c:v>44445</c:v>
                </c:pt>
                <c:pt idx="28">
                  <c:v>44444</c:v>
                </c:pt>
                <c:pt idx="29">
                  <c:v>44443</c:v>
                </c:pt>
                <c:pt idx="30">
                  <c:v>44442</c:v>
                </c:pt>
              </c:numCache>
            </c:numRef>
          </c:xVal>
          <c:yVal>
            <c:numRef>
              <c:f>Deces!$D$3:$D$33</c:f>
              <c:numCache>
                <c:formatCode>#,##0</c:formatCode>
                <c:ptCount val="31"/>
                <c:pt idx="0">
                  <c:v>17747</c:v>
                </c:pt>
                <c:pt idx="1">
                  <c:v>17730</c:v>
                </c:pt>
                <c:pt idx="2">
                  <c:v>17698</c:v>
                </c:pt>
                <c:pt idx="3">
                  <c:v>17664</c:v>
                </c:pt>
                <c:pt idx="4">
                  <c:v>17622</c:v>
                </c:pt>
                <c:pt idx="5">
                  <c:v>17574</c:v>
                </c:pt>
                <c:pt idx="6">
                  <c:v>17524</c:v>
                </c:pt>
                <c:pt idx="7">
                  <c:v>17496</c:v>
                </c:pt>
                <c:pt idx="8">
                  <c:v>17475</c:v>
                </c:pt>
                <c:pt idx="9">
                  <c:v>17442</c:v>
                </c:pt>
                <c:pt idx="10">
                  <c:v>17397</c:v>
                </c:pt>
                <c:pt idx="11">
                  <c:v>17348</c:v>
                </c:pt>
                <c:pt idx="12">
                  <c:v>17294</c:v>
                </c:pt>
                <c:pt idx="13">
                  <c:v>17247</c:v>
                </c:pt>
                <c:pt idx="14">
                  <c:v>17224</c:v>
                </c:pt>
                <c:pt idx="15">
                  <c:v>17183</c:v>
                </c:pt>
                <c:pt idx="16">
                  <c:v>17120</c:v>
                </c:pt>
                <c:pt idx="17">
                  <c:v>17051</c:v>
                </c:pt>
                <c:pt idx="18">
                  <c:v>16993</c:v>
                </c:pt>
                <c:pt idx="19">
                  <c:v>16919</c:v>
                </c:pt>
                <c:pt idx="20">
                  <c:v>16864</c:v>
                </c:pt>
                <c:pt idx="21">
                  <c:v>16814</c:v>
                </c:pt>
                <c:pt idx="22">
                  <c:v>16773</c:v>
                </c:pt>
                <c:pt idx="23">
                  <c:v>16717</c:v>
                </c:pt>
                <c:pt idx="24">
                  <c:v>16649</c:v>
                </c:pt>
                <c:pt idx="25">
                  <c:v>16561</c:v>
                </c:pt>
                <c:pt idx="26">
                  <c:v>16471</c:v>
                </c:pt>
                <c:pt idx="27">
                  <c:v>16409</c:v>
                </c:pt>
                <c:pt idx="28">
                  <c:v>16369</c:v>
                </c:pt>
                <c:pt idx="29">
                  <c:v>16339</c:v>
                </c:pt>
                <c:pt idx="30">
                  <c:v>16279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C7-4D4E-B275-040DB40B3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0657904"/>
        <c:axId val="1662440208"/>
      </c:scatterChart>
      <c:valAx>
        <c:axId val="1470657904"/>
        <c:scaling>
          <c:orientation val="minMax"/>
          <c:max val="44472"/>
          <c:min val="44442"/>
        </c:scaling>
        <c:delete val="0"/>
        <c:axPos val="b"/>
        <c:title>
          <c:tx>
            <c:strRef>
              <c:f>Deces!$A$1</c:f>
              <c:strCache>
                <c:ptCount val="1"/>
                <c:pt idx="0">
                  <c:v>Date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m/d/yyyy" sourceLinked="1"/>
        <c:majorTickMark val="out"/>
        <c:minorTickMark val="none"/>
        <c:tickLblPos val="nextTo"/>
        <c:crossAx val="1662440208"/>
        <c:crosses val="autoZero"/>
        <c:crossBetween val="midCat"/>
      </c:valAx>
      <c:valAx>
        <c:axId val="1662440208"/>
        <c:scaling>
          <c:orientation val="minMax"/>
          <c:min val="12923"/>
        </c:scaling>
        <c:delete val="0"/>
        <c:axPos val="l"/>
        <c:majorGridlines/>
        <c:title>
          <c:tx>
            <c:strRef>
              <c:f>Deces!$B$1</c:f>
              <c:strCache>
                <c:ptCount val="1"/>
                <c:pt idx="0">
                  <c:v>Nombre de décès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#,##0" sourceLinked="1"/>
        <c:majorTickMark val="out"/>
        <c:minorTickMark val="none"/>
        <c:tickLblPos val="nextTo"/>
        <c:crossAx val="14706579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TauxDeces!$B$1</c:f>
          <c:strCache>
            <c:ptCount val="1"/>
            <c:pt idx="0">
              <c:v>Taux de décès (en %)</c:v>
            </c:pt>
          </c:strCache>
        </c:strRef>
      </c:tx>
      <c:overlay val="0"/>
      <c:txPr>
        <a:bodyPr/>
        <a:lstStyle/>
        <a:p>
          <a:pPr>
            <a:defRPr/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TauxDeces!$B$2</c:f>
              <c:strCache>
                <c:ptCount val="1"/>
                <c:pt idx="0">
                  <c:v>Suède</c:v>
                </c:pt>
              </c:strCache>
            </c:strRef>
          </c:tx>
          <c:xVal>
            <c:numRef>
              <c:f>TauxDeces!$A$3:$A$33</c:f>
              <c:numCache>
                <c:formatCode>m/d/yyyy</c:formatCode>
                <c:ptCount val="31"/>
                <c:pt idx="0">
                  <c:v>44472</c:v>
                </c:pt>
                <c:pt idx="1">
                  <c:v>44471</c:v>
                </c:pt>
                <c:pt idx="2">
                  <c:v>44470</c:v>
                </c:pt>
                <c:pt idx="3">
                  <c:v>44469</c:v>
                </c:pt>
                <c:pt idx="4">
                  <c:v>44468</c:v>
                </c:pt>
                <c:pt idx="5">
                  <c:v>44467</c:v>
                </c:pt>
                <c:pt idx="6">
                  <c:v>44466</c:v>
                </c:pt>
                <c:pt idx="7">
                  <c:v>44465</c:v>
                </c:pt>
                <c:pt idx="8">
                  <c:v>44464</c:v>
                </c:pt>
                <c:pt idx="9">
                  <c:v>44463</c:v>
                </c:pt>
                <c:pt idx="10">
                  <c:v>44462</c:v>
                </c:pt>
                <c:pt idx="11">
                  <c:v>44461</c:v>
                </c:pt>
                <c:pt idx="12">
                  <c:v>44460</c:v>
                </c:pt>
                <c:pt idx="13">
                  <c:v>44459</c:v>
                </c:pt>
                <c:pt idx="14">
                  <c:v>44458</c:v>
                </c:pt>
                <c:pt idx="15">
                  <c:v>44457</c:v>
                </c:pt>
                <c:pt idx="16">
                  <c:v>44456</c:v>
                </c:pt>
                <c:pt idx="17">
                  <c:v>44455</c:v>
                </c:pt>
                <c:pt idx="18">
                  <c:v>44454</c:v>
                </c:pt>
                <c:pt idx="19">
                  <c:v>44453</c:v>
                </c:pt>
                <c:pt idx="20">
                  <c:v>44452</c:v>
                </c:pt>
                <c:pt idx="21">
                  <c:v>44451</c:v>
                </c:pt>
                <c:pt idx="22">
                  <c:v>44450</c:v>
                </c:pt>
                <c:pt idx="23">
                  <c:v>44449</c:v>
                </c:pt>
                <c:pt idx="24">
                  <c:v>44448</c:v>
                </c:pt>
                <c:pt idx="25">
                  <c:v>44447</c:v>
                </c:pt>
                <c:pt idx="26">
                  <c:v>44446</c:v>
                </c:pt>
                <c:pt idx="27">
                  <c:v>44445</c:v>
                </c:pt>
                <c:pt idx="28">
                  <c:v>44444</c:v>
                </c:pt>
                <c:pt idx="29">
                  <c:v>44443</c:v>
                </c:pt>
                <c:pt idx="30">
                  <c:v>44442</c:v>
                </c:pt>
              </c:numCache>
            </c:numRef>
          </c:xVal>
          <c:yVal>
            <c:numRef>
              <c:f>TauxDeces!$B$3:$B$33</c:f>
              <c:numCache>
                <c:formatCode>#,##0.00</c:formatCode>
                <c:ptCount val="31"/>
                <c:pt idx="0">
                  <c:v>1.29</c:v>
                </c:pt>
                <c:pt idx="1">
                  <c:v>1.29</c:v>
                </c:pt>
                <c:pt idx="2">
                  <c:v>1.29</c:v>
                </c:pt>
                <c:pt idx="3">
                  <c:v>1.29</c:v>
                </c:pt>
                <c:pt idx="4">
                  <c:v>1.29</c:v>
                </c:pt>
                <c:pt idx="5">
                  <c:v>1.29</c:v>
                </c:pt>
                <c:pt idx="6">
                  <c:v>1.29</c:v>
                </c:pt>
                <c:pt idx="7">
                  <c:v>1.29</c:v>
                </c:pt>
                <c:pt idx="8">
                  <c:v>1.29</c:v>
                </c:pt>
                <c:pt idx="9">
                  <c:v>1.29</c:v>
                </c:pt>
                <c:pt idx="10">
                  <c:v>1.29</c:v>
                </c:pt>
                <c:pt idx="11">
                  <c:v>1.29</c:v>
                </c:pt>
                <c:pt idx="12">
                  <c:v>1.29</c:v>
                </c:pt>
                <c:pt idx="13">
                  <c:v>1.29</c:v>
                </c:pt>
                <c:pt idx="14">
                  <c:v>1.29</c:v>
                </c:pt>
                <c:pt idx="15">
                  <c:v>1.29</c:v>
                </c:pt>
                <c:pt idx="16">
                  <c:v>1.29</c:v>
                </c:pt>
                <c:pt idx="17">
                  <c:v>1.29</c:v>
                </c:pt>
                <c:pt idx="18">
                  <c:v>1.29</c:v>
                </c:pt>
                <c:pt idx="19">
                  <c:v>1.29</c:v>
                </c:pt>
                <c:pt idx="20">
                  <c:v>1.29</c:v>
                </c:pt>
                <c:pt idx="21">
                  <c:v>1.29</c:v>
                </c:pt>
                <c:pt idx="22">
                  <c:v>1.29</c:v>
                </c:pt>
                <c:pt idx="23">
                  <c:v>1.29</c:v>
                </c:pt>
                <c:pt idx="24">
                  <c:v>1.29</c:v>
                </c:pt>
                <c:pt idx="25">
                  <c:v>1.29</c:v>
                </c:pt>
                <c:pt idx="26">
                  <c:v>1.3</c:v>
                </c:pt>
                <c:pt idx="27">
                  <c:v>1.3</c:v>
                </c:pt>
                <c:pt idx="28">
                  <c:v>1.3</c:v>
                </c:pt>
                <c:pt idx="29">
                  <c:v>1.3</c:v>
                </c:pt>
                <c:pt idx="30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045-80FB-BB1786423F1A}"/>
            </c:ext>
          </c:extLst>
        </c:ser>
        <c:ser>
          <c:idx val="1"/>
          <c:order val="1"/>
          <c:tx>
            <c:strRef>
              <c:f>TauxDeces!$C$2</c:f>
              <c:strCache>
                <c:ptCount val="1"/>
                <c:pt idx="0">
                  <c:v>Maroc</c:v>
                </c:pt>
              </c:strCache>
            </c:strRef>
          </c:tx>
          <c:xVal>
            <c:numRef>
              <c:f>TauxDeces!$A$3:$A$33</c:f>
              <c:numCache>
                <c:formatCode>m/d/yyyy</c:formatCode>
                <c:ptCount val="31"/>
                <c:pt idx="0">
                  <c:v>44472</c:v>
                </c:pt>
                <c:pt idx="1">
                  <c:v>44471</c:v>
                </c:pt>
                <c:pt idx="2">
                  <c:v>44470</c:v>
                </c:pt>
                <c:pt idx="3">
                  <c:v>44469</c:v>
                </c:pt>
                <c:pt idx="4">
                  <c:v>44468</c:v>
                </c:pt>
                <c:pt idx="5">
                  <c:v>44467</c:v>
                </c:pt>
                <c:pt idx="6">
                  <c:v>44466</c:v>
                </c:pt>
                <c:pt idx="7">
                  <c:v>44465</c:v>
                </c:pt>
                <c:pt idx="8">
                  <c:v>44464</c:v>
                </c:pt>
                <c:pt idx="9">
                  <c:v>44463</c:v>
                </c:pt>
                <c:pt idx="10">
                  <c:v>44462</c:v>
                </c:pt>
                <c:pt idx="11">
                  <c:v>44461</c:v>
                </c:pt>
                <c:pt idx="12">
                  <c:v>44460</c:v>
                </c:pt>
                <c:pt idx="13">
                  <c:v>44459</c:v>
                </c:pt>
                <c:pt idx="14">
                  <c:v>44458</c:v>
                </c:pt>
                <c:pt idx="15">
                  <c:v>44457</c:v>
                </c:pt>
                <c:pt idx="16">
                  <c:v>44456</c:v>
                </c:pt>
                <c:pt idx="17">
                  <c:v>44455</c:v>
                </c:pt>
                <c:pt idx="18">
                  <c:v>44454</c:v>
                </c:pt>
                <c:pt idx="19">
                  <c:v>44453</c:v>
                </c:pt>
                <c:pt idx="20">
                  <c:v>44452</c:v>
                </c:pt>
                <c:pt idx="21">
                  <c:v>44451</c:v>
                </c:pt>
                <c:pt idx="22">
                  <c:v>44450</c:v>
                </c:pt>
                <c:pt idx="23">
                  <c:v>44449</c:v>
                </c:pt>
                <c:pt idx="24">
                  <c:v>44448</c:v>
                </c:pt>
                <c:pt idx="25">
                  <c:v>44447</c:v>
                </c:pt>
                <c:pt idx="26">
                  <c:v>44446</c:v>
                </c:pt>
                <c:pt idx="27">
                  <c:v>44445</c:v>
                </c:pt>
                <c:pt idx="28">
                  <c:v>44444</c:v>
                </c:pt>
                <c:pt idx="29">
                  <c:v>44443</c:v>
                </c:pt>
                <c:pt idx="30">
                  <c:v>44442</c:v>
                </c:pt>
              </c:numCache>
            </c:numRef>
          </c:xVal>
          <c:yVal>
            <c:numRef>
              <c:f>TauxDeces!$C$3:$C$33</c:f>
              <c:numCache>
                <c:formatCode>#,##0.00</c:formatCode>
                <c:ptCount val="31"/>
                <c:pt idx="0">
                  <c:v>1.53</c:v>
                </c:pt>
                <c:pt idx="1">
                  <c:v>1.53</c:v>
                </c:pt>
                <c:pt idx="2">
                  <c:v>1.53</c:v>
                </c:pt>
                <c:pt idx="3">
                  <c:v>1.53</c:v>
                </c:pt>
                <c:pt idx="4">
                  <c:v>1.53</c:v>
                </c:pt>
                <c:pt idx="5">
                  <c:v>1.53</c:v>
                </c:pt>
                <c:pt idx="6">
                  <c:v>1.53</c:v>
                </c:pt>
                <c:pt idx="7">
                  <c:v>1.52</c:v>
                </c:pt>
                <c:pt idx="8">
                  <c:v>1.52</c:v>
                </c:pt>
                <c:pt idx="9">
                  <c:v>1.52</c:v>
                </c:pt>
                <c:pt idx="10">
                  <c:v>1.52</c:v>
                </c:pt>
                <c:pt idx="11">
                  <c:v>1.52</c:v>
                </c:pt>
                <c:pt idx="12">
                  <c:v>1.52</c:v>
                </c:pt>
                <c:pt idx="13">
                  <c:v>1.52</c:v>
                </c:pt>
                <c:pt idx="14">
                  <c:v>1.51</c:v>
                </c:pt>
                <c:pt idx="15">
                  <c:v>1.51</c:v>
                </c:pt>
                <c:pt idx="16">
                  <c:v>1.51</c:v>
                </c:pt>
                <c:pt idx="17">
                  <c:v>1.51</c:v>
                </c:pt>
                <c:pt idx="18">
                  <c:v>1.51</c:v>
                </c:pt>
                <c:pt idx="19">
                  <c:v>1.51</c:v>
                </c:pt>
                <c:pt idx="20">
                  <c:v>1.5</c:v>
                </c:pt>
                <c:pt idx="21">
                  <c:v>1.5</c:v>
                </c:pt>
                <c:pt idx="22">
                  <c:v>1.49</c:v>
                </c:pt>
                <c:pt idx="23">
                  <c:v>1.49</c:v>
                </c:pt>
                <c:pt idx="24">
                  <c:v>1.49</c:v>
                </c:pt>
                <c:pt idx="25">
                  <c:v>1.49</c:v>
                </c:pt>
                <c:pt idx="26">
                  <c:v>1.49</c:v>
                </c:pt>
                <c:pt idx="27">
                  <c:v>1.48</c:v>
                </c:pt>
                <c:pt idx="28">
                  <c:v>1.48</c:v>
                </c:pt>
                <c:pt idx="29">
                  <c:v>1.47</c:v>
                </c:pt>
                <c:pt idx="30">
                  <c:v>1.47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E8-4045-80FB-BB1786423F1A}"/>
            </c:ext>
          </c:extLst>
        </c:ser>
        <c:ser>
          <c:idx val="2"/>
          <c:order val="2"/>
          <c:tx>
            <c:strRef>
              <c:f>TauxDeces!$D$2</c:f>
              <c:strCache>
                <c:ptCount val="1"/>
                <c:pt idx="0">
                  <c:v>Japon</c:v>
                </c:pt>
              </c:strCache>
            </c:strRef>
          </c:tx>
          <c:xVal>
            <c:numRef>
              <c:f>TauxDeces!$A$3:$A$33</c:f>
              <c:numCache>
                <c:formatCode>m/d/yyyy</c:formatCode>
                <c:ptCount val="31"/>
                <c:pt idx="0">
                  <c:v>44472</c:v>
                </c:pt>
                <c:pt idx="1">
                  <c:v>44471</c:v>
                </c:pt>
                <c:pt idx="2">
                  <c:v>44470</c:v>
                </c:pt>
                <c:pt idx="3">
                  <c:v>44469</c:v>
                </c:pt>
                <c:pt idx="4">
                  <c:v>44468</c:v>
                </c:pt>
                <c:pt idx="5">
                  <c:v>44467</c:v>
                </c:pt>
                <c:pt idx="6">
                  <c:v>44466</c:v>
                </c:pt>
                <c:pt idx="7">
                  <c:v>44465</c:v>
                </c:pt>
                <c:pt idx="8">
                  <c:v>44464</c:v>
                </c:pt>
                <c:pt idx="9">
                  <c:v>44463</c:v>
                </c:pt>
                <c:pt idx="10">
                  <c:v>44462</c:v>
                </c:pt>
                <c:pt idx="11">
                  <c:v>44461</c:v>
                </c:pt>
                <c:pt idx="12">
                  <c:v>44460</c:v>
                </c:pt>
                <c:pt idx="13">
                  <c:v>44459</c:v>
                </c:pt>
                <c:pt idx="14">
                  <c:v>44458</c:v>
                </c:pt>
                <c:pt idx="15">
                  <c:v>44457</c:v>
                </c:pt>
                <c:pt idx="16">
                  <c:v>44456</c:v>
                </c:pt>
                <c:pt idx="17">
                  <c:v>44455</c:v>
                </c:pt>
                <c:pt idx="18">
                  <c:v>44454</c:v>
                </c:pt>
                <c:pt idx="19">
                  <c:v>44453</c:v>
                </c:pt>
                <c:pt idx="20">
                  <c:v>44452</c:v>
                </c:pt>
                <c:pt idx="21">
                  <c:v>44451</c:v>
                </c:pt>
                <c:pt idx="22">
                  <c:v>44450</c:v>
                </c:pt>
                <c:pt idx="23">
                  <c:v>44449</c:v>
                </c:pt>
                <c:pt idx="24">
                  <c:v>44448</c:v>
                </c:pt>
                <c:pt idx="25">
                  <c:v>44447</c:v>
                </c:pt>
                <c:pt idx="26">
                  <c:v>44446</c:v>
                </c:pt>
                <c:pt idx="27">
                  <c:v>44445</c:v>
                </c:pt>
                <c:pt idx="28">
                  <c:v>44444</c:v>
                </c:pt>
                <c:pt idx="29">
                  <c:v>44443</c:v>
                </c:pt>
                <c:pt idx="30">
                  <c:v>44442</c:v>
                </c:pt>
              </c:numCache>
            </c:numRef>
          </c:xVal>
          <c:yVal>
            <c:numRef>
              <c:f>TauxDeces!$D$3:$D$33</c:f>
              <c:numCache>
                <c:formatCode>#,##0.00</c:formatCode>
                <c:ptCount val="31"/>
                <c:pt idx="0">
                  <c:v>1.04</c:v>
                </c:pt>
                <c:pt idx="1">
                  <c:v>1.04</c:v>
                </c:pt>
                <c:pt idx="2">
                  <c:v>1.04</c:v>
                </c:pt>
                <c:pt idx="3">
                  <c:v>1.04</c:v>
                </c:pt>
                <c:pt idx="4">
                  <c:v>1.04</c:v>
                </c:pt>
                <c:pt idx="5">
                  <c:v>1.03</c:v>
                </c:pt>
                <c:pt idx="6">
                  <c:v>1.03</c:v>
                </c:pt>
                <c:pt idx="7">
                  <c:v>1.03</c:v>
                </c:pt>
                <c:pt idx="8">
                  <c:v>1.03</c:v>
                </c:pt>
                <c:pt idx="9">
                  <c:v>1.03</c:v>
                </c:pt>
                <c:pt idx="10">
                  <c:v>1.03</c:v>
                </c:pt>
                <c:pt idx="11">
                  <c:v>1.03</c:v>
                </c:pt>
                <c:pt idx="12">
                  <c:v>1.03</c:v>
                </c:pt>
                <c:pt idx="13">
                  <c:v>1.03</c:v>
                </c:pt>
                <c:pt idx="14">
                  <c:v>1.03</c:v>
                </c:pt>
                <c:pt idx="15">
                  <c:v>1.03</c:v>
                </c:pt>
                <c:pt idx="16">
                  <c:v>1.03</c:v>
                </c:pt>
                <c:pt idx="17">
                  <c:v>1.02</c:v>
                </c:pt>
                <c:pt idx="18">
                  <c:v>1.02</c:v>
                </c:pt>
                <c:pt idx="19">
                  <c:v>1.02</c:v>
                </c:pt>
                <c:pt idx="20">
                  <c:v>1.02</c:v>
                </c:pt>
                <c:pt idx="21">
                  <c:v>1.02</c:v>
                </c:pt>
                <c:pt idx="22">
                  <c:v>1.03</c:v>
                </c:pt>
                <c:pt idx="23">
                  <c:v>1.03</c:v>
                </c:pt>
                <c:pt idx="24">
                  <c:v>1.03</c:v>
                </c:pt>
                <c:pt idx="25">
                  <c:v>1.03</c:v>
                </c:pt>
                <c:pt idx="26">
                  <c:v>1.03</c:v>
                </c:pt>
                <c:pt idx="27">
                  <c:v>1.04</c:v>
                </c:pt>
                <c:pt idx="28">
                  <c:v>1.04</c:v>
                </c:pt>
                <c:pt idx="29">
                  <c:v>1.05</c:v>
                </c:pt>
                <c:pt idx="30">
                  <c:v>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E8-4045-80FB-BB1786423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438960"/>
        <c:axId val="1662439792"/>
      </c:scatterChart>
      <c:valAx>
        <c:axId val="1662438960"/>
        <c:scaling>
          <c:orientation val="minMax"/>
          <c:max val="44472"/>
          <c:min val="44442"/>
        </c:scaling>
        <c:delete val="0"/>
        <c:axPos val="b"/>
        <c:title>
          <c:tx>
            <c:strRef>
              <c:f>TauxDeces!$A$1</c:f>
              <c:strCache>
                <c:ptCount val="1"/>
                <c:pt idx="0">
                  <c:v>Date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m/d/yyyy" sourceLinked="1"/>
        <c:majorTickMark val="out"/>
        <c:minorTickMark val="none"/>
        <c:tickLblPos val="nextTo"/>
        <c:crossAx val="1662439792"/>
        <c:crosses val="autoZero"/>
        <c:crossBetween val="midCat"/>
      </c:valAx>
      <c:valAx>
        <c:axId val="1662439792"/>
        <c:scaling>
          <c:orientation val="minMax"/>
          <c:min val="1.02"/>
        </c:scaling>
        <c:delete val="0"/>
        <c:axPos val="l"/>
        <c:majorGridlines/>
        <c:title>
          <c:tx>
            <c:strRef>
              <c:f>TauxDeces!$B$1</c:f>
              <c:strCache>
                <c:ptCount val="1"/>
                <c:pt idx="0">
                  <c:v>Taux de décès (en %)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#,##0.00" sourceLinked="1"/>
        <c:majorTickMark val="out"/>
        <c:minorTickMark val="none"/>
        <c:tickLblPos val="nextTo"/>
        <c:crossAx val="16624389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</xdr:colOff>
      <xdr:row>5</xdr:row>
      <xdr:rowOff>12700</xdr:rowOff>
    </xdr:from>
    <xdr:to>
      <xdr:col>10</xdr:col>
      <xdr:colOff>12700</xdr:colOff>
      <xdr:row>9</xdr:row>
      <xdr:rowOff>114300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054350" y="939800"/>
          <a:ext cx="5340350" cy="83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/>
            <a:t>Le bouton "Extraction" va permettre d'extraire</a:t>
          </a:r>
          <a:r>
            <a:rPr lang="fr-FR" sz="1100" baseline="0"/>
            <a:t> le nombre d'infections, celui de décès, et le taux de décès pour les trois pays que vous aurez sélectionnés sur les listes déroulantes ci-dessous, et d'ensuite comparer les 3 pays à l'aide de graphiques affichés dans chaque feuille "Infection", "Deces", "TauxDeces"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730250</xdr:colOff>
          <xdr:row>10</xdr:row>
          <xdr:rowOff>0</xdr:rowOff>
        </xdr:from>
        <xdr:to>
          <xdr:col>7</xdr:col>
          <xdr:colOff>742950</xdr:colOff>
          <xdr:row>14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273050</xdr:colOff>
      <xdr:row>6</xdr:row>
      <xdr:rowOff>107042</xdr:rowOff>
    </xdr:from>
    <xdr:to>
      <xdr:col>14</xdr:col>
      <xdr:colOff>273050</xdr:colOff>
      <xdr:row>27</xdr:row>
      <xdr:rowOff>49892</xdr:rowOff>
    </xdr:to>
    <xdr:graphicFrame macro="">
      <xdr:nvGraphicFramePr>
        <xdr:cNvPr id="9" name="Graphique 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761713</xdr:colOff>
      <xdr:row>1</xdr:row>
      <xdr:rowOff>2199</xdr:rowOff>
    </xdr:from>
    <xdr:to>
      <xdr:col>8</xdr:col>
      <xdr:colOff>749473</xdr:colOff>
      <xdr:row>4</xdr:row>
      <xdr:rowOff>77653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301838" y="184762"/>
          <a:ext cx="3035760" cy="623141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chemeClr val="bg1"/>
              </a:solidFill>
            </a:rPr>
            <a:t>ATTENTION</a:t>
          </a:r>
          <a:r>
            <a:rPr lang="fr-FR" sz="1100" b="1" baseline="0">
              <a:solidFill>
                <a:schemeClr val="bg1"/>
              </a:solidFill>
            </a:rPr>
            <a:t> !</a:t>
          </a:r>
          <a:r>
            <a:rPr lang="fr-FR" sz="1100" b="1">
              <a:solidFill>
                <a:schemeClr val="bg1"/>
              </a:solidFill>
            </a:rPr>
            <a:t> </a:t>
          </a:r>
        </a:p>
        <a:p>
          <a:pPr algn="ctr"/>
          <a:r>
            <a:rPr lang="fr-FR" sz="1100" b="1">
              <a:solidFill>
                <a:schemeClr val="bg1"/>
              </a:solidFill>
            </a:rPr>
            <a:t>Il faut appuyer sur</a:t>
          </a:r>
          <a:r>
            <a:rPr lang="fr-FR" sz="1100" b="1" baseline="0">
              <a:solidFill>
                <a:schemeClr val="bg1"/>
              </a:solidFill>
            </a:rPr>
            <a:t> le bouton "Extraction" pour mettre à jour les données à aujourd'hui</a:t>
          </a:r>
          <a:endParaRPr lang="fr-F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6</xdr:row>
      <xdr:rowOff>79375</xdr:rowOff>
    </xdr:from>
    <xdr:to>
      <xdr:col>14</xdr:col>
      <xdr:colOff>247650</xdr:colOff>
      <xdr:row>27</xdr:row>
      <xdr:rowOff>22225</xdr:rowOff>
    </xdr:to>
    <xdr:graphicFrame macro="">
      <xdr:nvGraphicFramePr>
        <xdr:cNvPr id="9" name="Graphique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7938</xdr:colOff>
      <xdr:row>1</xdr:row>
      <xdr:rowOff>7937</xdr:rowOff>
    </xdr:from>
    <xdr:to>
      <xdr:col>8</xdr:col>
      <xdr:colOff>757698</xdr:colOff>
      <xdr:row>4</xdr:row>
      <xdr:rowOff>83391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4127501" y="190500"/>
          <a:ext cx="3035760" cy="623141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chemeClr val="bg1"/>
              </a:solidFill>
            </a:rPr>
            <a:t>ATTENTION</a:t>
          </a:r>
          <a:r>
            <a:rPr lang="fr-FR" sz="1100" b="1" baseline="0">
              <a:solidFill>
                <a:schemeClr val="bg1"/>
              </a:solidFill>
            </a:rPr>
            <a:t> !</a:t>
          </a:r>
          <a:endParaRPr lang="fr-FR" sz="1100" b="1">
            <a:solidFill>
              <a:schemeClr val="bg1"/>
            </a:solidFill>
          </a:endParaRPr>
        </a:p>
        <a:p>
          <a:pPr algn="ctr"/>
          <a:r>
            <a:rPr lang="fr-FR" sz="1100" b="1">
              <a:solidFill>
                <a:schemeClr val="bg1"/>
              </a:solidFill>
            </a:rPr>
            <a:t>Il faut appuyer sur</a:t>
          </a:r>
          <a:r>
            <a:rPr lang="fr-FR" sz="1100" b="1" baseline="0">
              <a:solidFill>
                <a:schemeClr val="bg1"/>
              </a:solidFill>
            </a:rPr>
            <a:t> le bouton "Extraction" pour mettre à jour les données à aujourd'hui</a:t>
          </a:r>
          <a:endParaRPr lang="fr-F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215900</xdr:colOff>
      <xdr:row>5</xdr:row>
      <xdr:rowOff>151540</xdr:rowOff>
    </xdr:from>
    <xdr:to>
      <xdr:col>14</xdr:col>
      <xdr:colOff>215900</xdr:colOff>
      <xdr:row>26</xdr:row>
      <xdr:rowOff>94390</xdr:rowOff>
    </xdr:to>
    <xdr:graphicFrame macro="">
      <xdr:nvGraphicFramePr>
        <xdr:cNvPr id="8" name="Graphique 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8</xdr:col>
      <xdr:colOff>744611</xdr:colOff>
      <xdr:row>4</xdr:row>
      <xdr:rowOff>82533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359189" y="180203"/>
          <a:ext cx="3035760" cy="623141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>
              <a:solidFill>
                <a:schemeClr val="bg1"/>
              </a:solidFill>
            </a:rPr>
            <a:t>ATTENTION</a:t>
          </a:r>
          <a:r>
            <a:rPr lang="fr-FR" sz="1100" b="1" baseline="0">
              <a:solidFill>
                <a:schemeClr val="bg1"/>
              </a:solidFill>
            </a:rPr>
            <a:t> ! </a:t>
          </a:r>
          <a:endParaRPr lang="fr-FR" sz="1100" b="1">
            <a:solidFill>
              <a:schemeClr val="bg1"/>
            </a:solidFill>
          </a:endParaRPr>
        </a:p>
        <a:p>
          <a:pPr algn="ctr"/>
          <a:r>
            <a:rPr lang="fr-FR" sz="1100" b="1">
              <a:solidFill>
                <a:schemeClr val="bg1"/>
              </a:solidFill>
            </a:rPr>
            <a:t>Il faut appuyer sur</a:t>
          </a:r>
          <a:r>
            <a:rPr lang="fr-FR" sz="1100" b="1" baseline="0">
              <a:solidFill>
                <a:schemeClr val="bg1"/>
              </a:solidFill>
            </a:rPr>
            <a:t> le bouton "Extraction" pour mettre à jour les données à aujourd'hui</a:t>
          </a:r>
          <a:endParaRPr lang="fr-FR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ronavirus.politologue.com/data/coronavirus/coronacsv.aspx?format=json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712B-AC1C-44EF-92D2-060C60A2D4CB}">
  <sheetPr codeName="Feuil4"/>
  <dimension ref="D1:J225"/>
  <sheetViews>
    <sheetView tabSelected="1" zoomScale="77" zoomScaleNormal="55" workbookViewId="0">
      <selection activeCell="B6" sqref="B6"/>
    </sheetView>
  </sheetViews>
  <sheetFormatPr baseColWidth="10" defaultRowHeight="14.5" x14ac:dyDescent="0.35"/>
  <cols>
    <col min="4" max="4" width="13.26953125" bestFit="1" customWidth="1"/>
  </cols>
  <sheetData>
    <row r="1" spans="4:10" ht="15" thickBot="1" x14ac:dyDescent="0.4"/>
    <row r="2" spans="4:10" ht="14.5" customHeight="1" thickTop="1" x14ac:dyDescent="0.35">
      <c r="D2" s="11" t="s">
        <v>8</v>
      </c>
      <c r="E2" s="12"/>
      <c r="F2" s="12"/>
      <c r="G2" s="12"/>
      <c r="H2" s="12"/>
      <c r="I2" s="12"/>
      <c r="J2" s="13"/>
    </row>
    <row r="3" spans="4:10" ht="14.5" customHeight="1" x14ac:dyDescent="0.35">
      <c r="D3" s="14"/>
      <c r="E3" s="15"/>
      <c r="F3" s="15"/>
      <c r="G3" s="15"/>
      <c r="H3" s="15"/>
      <c r="I3" s="15"/>
      <c r="J3" s="16"/>
    </row>
    <row r="4" spans="4:10" ht="15" customHeight="1" thickBot="1" x14ac:dyDescent="0.4">
      <c r="D4" s="17"/>
      <c r="E4" s="18"/>
      <c r="F4" s="18"/>
      <c r="G4" s="18"/>
      <c r="H4" s="18"/>
      <c r="I4" s="18"/>
      <c r="J4" s="19"/>
    </row>
    <row r="5" spans="4:10" ht="15" thickTop="1" x14ac:dyDescent="0.35"/>
    <row r="15" spans="4:10" ht="15" thickBot="1" x14ac:dyDescent="0.4"/>
    <row r="16" spans="4:10" ht="15" thickBot="1" x14ac:dyDescent="0.4">
      <c r="F16" s="3" t="s">
        <v>3</v>
      </c>
      <c r="G16" s="3" t="s">
        <v>5</v>
      </c>
      <c r="H16" s="3" t="s">
        <v>6</v>
      </c>
    </row>
    <row r="17" spans="4:8" x14ac:dyDescent="0.35">
      <c r="F17" t="s">
        <v>175</v>
      </c>
      <c r="G17" t="s">
        <v>124</v>
      </c>
      <c r="H17" t="s">
        <v>105</v>
      </c>
    </row>
    <row r="20" spans="4:8" x14ac:dyDescent="0.35">
      <c r="D20" s="6" t="s">
        <v>7</v>
      </c>
      <c r="E20" s="7" t="s">
        <v>1</v>
      </c>
    </row>
    <row r="22" spans="4:8" x14ac:dyDescent="0.35">
      <c r="D22" s="6" t="s">
        <v>213</v>
      </c>
      <c r="E22" s="10" t="s">
        <v>22</v>
      </c>
    </row>
    <row r="23" spans="4:8" x14ac:dyDescent="0.35">
      <c r="E23" s="10" t="s">
        <v>23</v>
      </c>
    </row>
    <row r="24" spans="4:8" x14ac:dyDescent="0.35">
      <c r="E24" s="10" t="s">
        <v>24</v>
      </c>
    </row>
    <row r="25" spans="4:8" x14ac:dyDescent="0.35">
      <c r="E25" s="10" t="s">
        <v>25</v>
      </c>
    </row>
    <row r="26" spans="4:8" x14ac:dyDescent="0.35">
      <c r="E26" s="10" t="s">
        <v>26</v>
      </c>
    </row>
    <row r="27" spans="4:8" x14ac:dyDescent="0.35">
      <c r="E27" s="10" t="s">
        <v>27</v>
      </c>
    </row>
    <row r="28" spans="4:8" x14ac:dyDescent="0.35">
      <c r="E28" s="10" t="s">
        <v>28</v>
      </c>
    </row>
    <row r="29" spans="4:8" x14ac:dyDescent="0.35">
      <c r="E29" s="10" t="s">
        <v>29</v>
      </c>
    </row>
    <row r="30" spans="4:8" x14ac:dyDescent="0.35">
      <c r="E30" s="10" t="s">
        <v>30</v>
      </c>
    </row>
    <row r="31" spans="4:8" x14ac:dyDescent="0.35">
      <c r="E31" s="10" t="s">
        <v>31</v>
      </c>
    </row>
    <row r="32" spans="4:8" x14ac:dyDescent="0.35">
      <c r="E32" s="10" t="s">
        <v>32</v>
      </c>
    </row>
    <row r="33" spans="5:5" x14ac:dyDescent="0.35">
      <c r="E33" s="10" t="s">
        <v>33</v>
      </c>
    </row>
    <row r="34" spans="5:5" x14ac:dyDescent="0.35">
      <c r="E34" s="10" t="s">
        <v>34</v>
      </c>
    </row>
    <row r="35" spans="5:5" x14ac:dyDescent="0.35">
      <c r="E35" s="10" t="s">
        <v>35</v>
      </c>
    </row>
    <row r="36" spans="5:5" x14ac:dyDescent="0.35">
      <c r="E36" s="10" t="s">
        <v>36</v>
      </c>
    </row>
    <row r="37" spans="5:5" x14ac:dyDescent="0.35">
      <c r="E37" s="10" t="s">
        <v>37</v>
      </c>
    </row>
    <row r="38" spans="5:5" x14ac:dyDescent="0.35">
      <c r="E38" s="10" t="s">
        <v>38</v>
      </c>
    </row>
    <row r="39" spans="5:5" x14ac:dyDescent="0.35">
      <c r="E39" s="10" t="s">
        <v>39</v>
      </c>
    </row>
    <row r="40" spans="5:5" x14ac:dyDescent="0.35">
      <c r="E40" s="10" t="s">
        <v>40</v>
      </c>
    </row>
    <row r="41" spans="5:5" x14ac:dyDescent="0.35">
      <c r="E41" s="10" t="s">
        <v>41</v>
      </c>
    </row>
    <row r="42" spans="5:5" x14ac:dyDescent="0.35">
      <c r="E42" s="10" t="s">
        <v>42</v>
      </c>
    </row>
    <row r="43" spans="5:5" x14ac:dyDescent="0.35">
      <c r="E43" s="10" t="s">
        <v>43</v>
      </c>
    </row>
    <row r="44" spans="5:5" x14ac:dyDescent="0.35">
      <c r="E44" s="10" t="s">
        <v>44</v>
      </c>
    </row>
    <row r="45" spans="5:5" x14ac:dyDescent="0.35">
      <c r="E45" s="10" t="s">
        <v>14</v>
      </c>
    </row>
    <row r="46" spans="5:5" x14ac:dyDescent="0.35">
      <c r="E46" s="10" t="s">
        <v>45</v>
      </c>
    </row>
    <row r="47" spans="5:5" x14ac:dyDescent="0.35">
      <c r="E47" s="10" t="s">
        <v>46</v>
      </c>
    </row>
    <row r="48" spans="5:5" x14ac:dyDescent="0.35">
      <c r="E48" s="10" t="s">
        <v>47</v>
      </c>
    </row>
    <row r="49" spans="5:5" x14ac:dyDescent="0.35">
      <c r="E49" s="10" t="s">
        <v>48</v>
      </c>
    </row>
    <row r="50" spans="5:5" x14ac:dyDescent="0.35">
      <c r="E50" s="10" t="s">
        <v>49</v>
      </c>
    </row>
    <row r="51" spans="5:5" x14ac:dyDescent="0.35">
      <c r="E51" s="10" t="s">
        <v>50</v>
      </c>
    </row>
    <row r="52" spans="5:5" x14ac:dyDescent="0.35">
      <c r="E52" s="10" t="s">
        <v>51</v>
      </c>
    </row>
    <row r="53" spans="5:5" x14ac:dyDescent="0.35">
      <c r="E53" s="10" t="s">
        <v>52</v>
      </c>
    </row>
    <row r="54" spans="5:5" x14ac:dyDescent="0.35">
      <c r="E54" s="10" t="s">
        <v>53</v>
      </c>
    </row>
    <row r="55" spans="5:5" x14ac:dyDescent="0.35">
      <c r="E55" s="10" t="s">
        <v>54</v>
      </c>
    </row>
    <row r="56" spans="5:5" x14ac:dyDescent="0.35">
      <c r="E56" s="10" t="s">
        <v>55</v>
      </c>
    </row>
    <row r="57" spans="5:5" x14ac:dyDescent="0.35">
      <c r="E57" s="10" t="s">
        <v>56</v>
      </c>
    </row>
    <row r="58" spans="5:5" x14ac:dyDescent="0.35">
      <c r="E58" s="10" t="s">
        <v>57</v>
      </c>
    </row>
    <row r="59" spans="5:5" x14ac:dyDescent="0.35">
      <c r="E59" s="10" t="s">
        <v>15</v>
      </c>
    </row>
    <row r="60" spans="5:5" x14ac:dyDescent="0.35">
      <c r="E60" s="10" t="s">
        <v>58</v>
      </c>
    </row>
    <row r="61" spans="5:5" x14ac:dyDescent="0.35">
      <c r="E61" s="10" t="s">
        <v>59</v>
      </c>
    </row>
    <row r="62" spans="5:5" x14ac:dyDescent="0.35">
      <c r="E62" s="10" t="s">
        <v>60</v>
      </c>
    </row>
    <row r="63" spans="5:5" x14ac:dyDescent="0.35">
      <c r="E63" s="10" t="s">
        <v>61</v>
      </c>
    </row>
    <row r="64" spans="5:5" x14ac:dyDescent="0.35">
      <c r="E64" s="10" t="s">
        <v>62</v>
      </c>
    </row>
    <row r="65" spans="5:5" x14ac:dyDescent="0.35">
      <c r="E65" s="10" t="s">
        <v>63</v>
      </c>
    </row>
    <row r="66" spans="5:5" x14ac:dyDescent="0.35">
      <c r="E66" s="10" t="s">
        <v>64</v>
      </c>
    </row>
    <row r="67" spans="5:5" x14ac:dyDescent="0.35">
      <c r="E67" s="10" t="s">
        <v>65</v>
      </c>
    </row>
    <row r="68" spans="5:5" x14ac:dyDescent="0.35">
      <c r="E68" s="10" t="s">
        <v>66</v>
      </c>
    </row>
    <row r="69" spans="5:5" x14ac:dyDescent="0.35">
      <c r="E69" s="10" t="s">
        <v>67</v>
      </c>
    </row>
    <row r="70" spans="5:5" x14ac:dyDescent="0.35">
      <c r="E70" s="10" t="s">
        <v>68</v>
      </c>
    </row>
    <row r="71" spans="5:5" x14ac:dyDescent="0.35">
      <c r="E71" s="10" t="s">
        <v>69</v>
      </c>
    </row>
    <row r="72" spans="5:5" x14ac:dyDescent="0.35">
      <c r="E72" s="10" t="s">
        <v>70</v>
      </c>
    </row>
    <row r="73" spans="5:5" x14ac:dyDescent="0.35">
      <c r="E73" s="10" t="s">
        <v>71</v>
      </c>
    </row>
    <row r="74" spans="5:5" x14ac:dyDescent="0.35">
      <c r="E74" s="10" t="s">
        <v>72</v>
      </c>
    </row>
    <row r="75" spans="5:5" x14ac:dyDescent="0.35">
      <c r="E75" s="10" t="s">
        <v>73</v>
      </c>
    </row>
    <row r="76" spans="5:5" x14ac:dyDescent="0.35">
      <c r="E76" s="10" t="s">
        <v>11</v>
      </c>
    </row>
    <row r="77" spans="5:5" x14ac:dyDescent="0.35">
      <c r="E77" s="10" t="s">
        <v>74</v>
      </c>
    </row>
    <row r="78" spans="5:5" x14ac:dyDescent="0.35">
      <c r="E78" s="10" t="s">
        <v>75</v>
      </c>
    </row>
    <row r="79" spans="5:5" x14ac:dyDescent="0.35">
      <c r="E79" s="10" t="s">
        <v>76</v>
      </c>
    </row>
    <row r="80" spans="5:5" x14ac:dyDescent="0.35">
      <c r="E80" s="10" t="s">
        <v>77</v>
      </c>
    </row>
    <row r="81" spans="5:5" x14ac:dyDescent="0.35">
      <c r="E81" s="10" t="s">
        <v>9</v>
      </c>
    </row>
    <row r="82" spans="5:5" x14ac:dyDescent="0.35">
      <c r="E82" s="10" t="s">
        <v>78</v>
      </c>
    </row>
    <row r="83" spans="5:5" x14ac:dyDescent="0.35">
      <c r="E83" s="10" t="s">
        <v>79</v>
      </c>
    </row>
    <row r="84" spans="5:5" x14ac:dyDescent="0.35">
      <c r="E84" s="10" t="s">
        <v>80</v>
      </c>
    </row>
    <row r="85" spans="5:5" x14ac:dyDescent="0.35">
      <c r="E85" s="10" t="s">
        <v>81</v>
      </c>
    </row>
    <row r="86" spans="5:5" x14ac:dyDescent="0.35">
      <c r="E86" s="10" t="s">
        <v>82</v>
      </c>
    </row>
    <row r="87" spans="5:5" x14ac:dyDescent="0.35">
      <c r="E87" s="10" t="s">
        <v>83</v>
      </c>
    </row>
    <row r="88" spans="5:5" x14ac:dyDescent="0.35">
      <c r="E88" s="10" t="s">
        <v>84</v>
      </c>
    </row>
    <row r="89" spans="5:5" x14ac:dyDescent="0.35">
      <c r="E89" s="10" t="s">
        <v>85</v>
      </c>
    </row>
    <row r="90" spans="5:5" x14ac:dyDescent="0.35">
      <c r="E90" s="10" t="s">
        <v>86</v>
      </c>
    </row>
    <row r="91" spans="5:5" x14ac:dyDescent="0.35">
      <c r="E91" s="10" t="s">
        <v>87</v>
      </c>
    </row>
    <row r="92" spans="5:5" x14ac:dyDescent="0.35">
      <c r="E92" s="10" t="s">
        <v>88</v>
      </c>
    </row>
    <row r="93" spans="5:5" x14ac:dyDescent="0.35">
      <c r="E93" s="10" t="s">
        <v>89</v>
      </c>
    </row>
    <row r="94" spans="5:5" x14ac:dyDescent="0.35">
      <c r="E94" s="10" t="s">
        <v>90</v>
      </c>
    </row>
    <row r="95" spans="5:5" x14ac:dyDescent="0.35">
      <c r="E95" s="10" t="s">
        <v>91</v>
      </c>
    </row>
    <row r="96" spans="5:5" x14ac:dyDescent="0.35">
      <c r="E96" s="10" t="s">
        <v>92</v>
      </c>
    </row>
    <row r="97" spans="5:5" x14ac:dyDescent="0.35">
      <c r="E97" s="10" t="s">
        <v>93</v>
      </c>
    </row>
    <row r="98" spans="5:5" x14ac:dyDescent="0.35">
      <c r="E98" s="10" t="s">
        <v>94</v>
      </c>
    </row>
    <row r="99" spans="5:5" x14ac:dyDescent="0.35">
      <c r="E99" s="10" t="s">
        <v>95</v>
      </c>
    </row>
    <row r="100" spans="5:5" x14ac:dyDescent="0.35">
      <c r="E100" s="10" t="s">
        <v>96</v>
      </c>
    </row>
    <row r="101" spans="5:5" x14ac:dyDescent="0.35">
      <c r="E101" s="10" t="s">
        <v>97</v>
      </c>
    </row>
    <row r="102" spans="5:5" x14ac:dyDescent="0.35">
      <c r="E102" s="10" t="s">
        <v>98</v>
      </c>
    </row>
    <row r="103" spans="5:5" x14ac:dyDescent="0.35">
      <c r="E103" s="10" t="s">
        <v>99</v>
      </c>
    </row>
    <row r="104" spans="5:5" x14ac:dyDescent="0.35">
      <c r="E104" s="10" t="s">
        <v>20</v>
      </c>
    </row>
    <row r="105" spans="5:5" x14ac:dyDescent="0.35">
      <c r="E105" s="10" t="s">
        <v>18</v>
      </c>
    </row>
    <row r="106" spans="5:5" x14ac:dyDescent="0.35">
      <c r="E106" s="10" t="s">
        <v>100</v>
      </c>
    </row>
    <row r="107" spans="5:5" x14ac:dyDescent="0.35">
      <c r="E107" s="10" t="s">
        <v>101</v>
      </c>
    </row>
    <row r="108" spans="5:5" x14ac:dyDescent="0.35">
      <c r="E108" s="10" t="s">
        <v>102</v>
      </c>
    </row>
    <row r="109" spans="5:5" x14ac:dyDescent="0.35">
      <c r="E109" s="10" t="s">
        <v>10</v>
      </c>
    </row>
    <row r="110" spans="5:5" x14ac:dyDescent="0.35">
      <c r="E110" s="10" t="s">
        <v>103</v>
      </c>
    </row>
    <row r="111" spans="5:5" x14ac:dyDescent="0.35">
      <c r="E111" s="10" t="s">
        <v>104</v>
      </c>
    </row>
    <row r="112" spans="5:5" x14ac:dyDescent="0.35">
      <c r="E112" s="10" t="s">
        <v>105</v>
      </c>
    </row>
    <row r="113" spans="5:5" x14ac:dyDescent="0.35">
      <c r="E113" s="10" t="s">
        <v>106</v>
      </c>
    </row>
    <row r="114" spans="5:5" x14ac:dyDescent="0.35">
      <c r="E114" s="10" t="s">
        <v>107</v>
      </c>
    </row>
    <row r="115" spans="5:5" x14ac:dyDescent="0.35">
      <c r="E115" s="10" t="s">
        <v>13</v>
      </c>
    </row>
    <row r="116" spans="5:5" x14ac:dyDescent="0.35">
      <c r="E116" s="10" t="s">
        <v>108</v>
      </c>
    </row>
    <row r="117" spans="5:5" x14ac:dyDescent="0.35">
      <c r="E117" s="10" t="s">
        <v>109</v>
      </c>
    </row>
    <row r="118" spans="5:5" x14ac:dyDescent="0.35">
      <c r="E118" s="10" t="s">
        <v>110</v>
      </c>
    </row>
    <row r="119" spans="5:5" x14ac:dyDescent="0.35">
      <c r="E119" s="10" t="s">
        <v>111</v>
      </c>
    </row>
    <row r="120" spans="5:5" x14ac:dyDescent="0.35">
      <c r="E120" s="10" t="s">
        <v>112</v>
      </c>
    </row>
    <row r="121" spans="5:5" x14ac:dyDescent="0.35">
      <c r="E121" s="10" t="s">
        <v>113</v>
      </c>
    </row>
    <row r="122" spans="5:5" x14ac:dyDescent="0.35">
      <c r="E122" s="10" t="s">
        <v>114</v>
      </c>
    </row>
    <row r="123" spans="5:5" x14ac:dyDescent="0.35">
      <c r="E123" s="10" t="s">
        <v>115</v>
      </c>
    </row>
    <row r="124" spans="5:5" x14ac:dyDescent="0.35">
      <c r="E124" s="10" t="s">
        <v>21</v>
      </c>
    </row>
    <row r="125" spans="5:5" x14ac:dyDescent="0.35">
      <c r="E125" s="10" t="s">
        <v>116</v>
      </c>
    </row>
    <row r="126" spans="5:5" x14ac:dyDescent="0.35">
      <c r="E126" s="10" t="s">
        <v>117</v>
      </c>
    </row>
    <row r="127" spans="5:5" x14ac:dyDescent="0.35">
      <c r="E127" s="10" t="s">
        <v>118</v>
      </c>
    </row>
    <row r="128" spans="5:5" x14ac:dyDescent="0.35">
      <c r="E128" s="10" t="s">
        <v>119</v>
      </c>
    </row>
    <row r="129" spans="5:5" x14ac:dyDescent="0.35">
      <c r="E129" s="10" t="s">
        <v>120</v>
      </c>
    </row>
    <row r="130" spans="5:5" x14ac:dyDescent="0.35">
      <c r="E130" s="10" t="s">
        <v>121</v>
      </c>
    </row>
    <row r="131" spans="5:5" x14ac:dyDescent="0.35">
      <c r="E131" s="10" t="s">
        <v>122</v>
      </c>
    </row>
    <row r="132" spans="5:5" x14ac:dyDescent="0.35">
      <c r="E132" s="10" t="s">
        <v>123</v>
      </c>
    </row>
    <row r="133" spans="5:5" x14ac:dyDescent="0.35">
      <c r="E133" s="10" t="s">
        <v>124</v>
      </c>
    </row>
    <row r="134" spans="5:5" x14ac:dyDescent="0.35">
      <c r="E134" s="10" t="s">
        <v>125</v>
      </c>
    </row>
    <row r="135" spans="5:5" x14ac:dyDescent="0.35">
      <c r="E135" s="10" t="s">
        <v>126</v>
      </c>
    </row>
    <row r="136" spans="5:5" x14ac:dyDescent="0.35">
      <c r="E136" s="10" t="s">
        <v>127</v>
      </c>
    </row>
    <row r="137" spans="5:5" x14ac:dyDescent="0.35">
      <c r="E137" s="10" t="s">
        <v>128</v>
      </c>
    </row>
    <row r="138" spans="5:5" x14ac:dyDescent="0.35">
      <c r="E138" s="10" t="s">
        <v>17</v>
      </c>
    </row>
    <row r="139" spans="5:5" x14ac:dyDescent="0.35">
      <c r="E139" s="10" t="s">
        <v>129</v>
      </c>
    </row>
    <row r="140" spans="5:5" x14ac:dyDescent="0.35">
      <c r="E140" s="10" t="s">
        <v>130</v>
      </c>
    </row>
    <row r="141" spans="5:5" x14ac:dyDescent="0.35">
      <c r="E141" s="10" t="s">
        <v>131</v>
      </c>
    </row>
    <row r="142" spans="5:5" x14ac:dyDescent="0.35">
      <c r="E142" s="10" t="s">
        <v>132</v>
      </c>
    </row>
    <row r="143" spans="5:5" x14ac:dyDescent="0.35">
      <c r="E143" s="10" t="s">
        <v>133</v>
      </c>
    </row>
    <row r="144" spans="5:5" x14ac:dyDescent="0.35">
      <c r="E144" s="10" t="s">
        <v>134</v>
      </c>
    </row>
    <row r="145" spans="5:5" x14ac:dyDescent="0.35">
      <c r="E145" s="10" t="s">
        <v>135</v>
      </c>
    </row>
    <row r="146" spans="5:5" x14ac:dyDescent="0.35">
      <c r="E146" s="10" t="s">
        <v>136</v>
      </c>
    </row>
    <row r="147" spans="5:5" x14ac:dyDescent="0.35">
      <c r="E147" s="10" t="s">
        <v>137</v>
      </c>
    </row>
    <row r="148" spans="5:5" x14ac:dyDescent="0.35">
      <c r="E148" s="10" t="s">
        <v>138</v>
      </c>
    </row>
    <row r="149" spans="5:5" x14ac:dyDescent="0.35">
      <c r="E149" s="10" t="s">
        <v>139</v>
      </c>
    </row>
    <row r="150" spans="5:5" x14ac:dyDescent="0.35">
      <c r="E150" s="10" t="s">
        <v>140</v>
      </c>
    </row>
    <row r="151" spans="5:5" x14ac:dyDescent="0.35">
      <c r="E151" s="10" t="s">
        <v>141</v>
      </c>
    </row>
    <row r="152" spans="5:5" x14ac:dyDescent="0.35">
      <c r="E152" s="10" t="s">
        <v>142</v>
      </c>
    </row>
    <row r="153" spans="5:5" x14ac:dyDescent="0.35">
      <c r="E153" s="10" t="s">
        <v>143</v>
      </c>
    </row>
    <row r="154" spans="5:5" x14ac:dyDescent="0.35">
      <c r="E154" s="10" t="s">
        <v>144</v>
      </c>
    </row>
    <row r="155" spans="5:5" x14ac:dyDescent="0.35">
      <c r="E155" s="10" t="s">
        <v>145</v>
      </c>
    </row>
    <row r="156" spans="5:5" x14ac:dyDescent="0.35">
      <c r="E156" s="10" t="s">
        <v>146</v>
      </c>
    </row>
    <row r="157" spans="5:5" x14ac:dyDescent="0.35">
      <c r="E157" s="10" t="s">
        <v>147</v>
      </c>
    </row>
    <row r="158" spans="5:5" x14ac:dyDescent="0.35">
      <c r="E158" s="10" t="s">
        <v>148</v>
      </c>
    </row>
    <row r="159" spans="5:5" x14ac:dyDescent="0.35">
      <c r="E159" s="10" t="s">
        <v>149</v>
      </c>
    </row>
    <row r="160" spans="5:5" x14ac:dyDescent="0.35">
      <c r="E160" s="10" t="s">
        <v>150</v>
      </c>
    </row>
    <row r="161" spans="5:5" x14ac:dyDescent="0.35">
      <c r="E161" s="10" t="s">
        <v>151</v>
      </c>
    </row>
    <row r="162" spans="5:5" x14ac:dyDescent="0.35">
      <c r="E162" s="10" t="s">
        <v>152</v>
      </c>
    </row>
    <row r="163" spans="5:5" x14ac:dyDescent="0.35">
      <c r="E163" s="10" t="s">
        <v>153</v>
      </c>
    </row>
    <row r="164" spans="5:5" x14ac:dyDescent="0.35">
      <c r="E164" s="10" t="s">
        <v>154</v>
      </c>
    </row>
    <row r="165" spans="5:5" x14ac:dyDescent="0.35">
      <c r="E165" s="10" t="s">
        <v>155</v>
      </c>
    </row>
    <row r="166" spans="5:5" x14ac:dyDescent="0.35">
      <c r="E166" s="10" t="s">
        <v>156</v>
      </c>
    </row>
    <row r="167" spans="5:5" x14ac:dyDescent="0.35">
      <c r="E167" s="10" t="s">
        <v>157</v>
      </c>
    </row>
    <row r="168" spans="5:5" x14ac:dyDescent="0.35">
      <c r="E168" s="10" t="s">
        <v>158</v>
      </c>
    </row>
    <row r="169" spans="5:5" x14ac:dyDescent="0.35">
      <c r="E169" s="10" t="s">
        <v>159</v>
      </c>
    </row>
    <row r="170" spans="5:5" x14ac:dyDescent="0.35">
      <c r="E170" s="10" t="s">
        <v>160</v>
      </c>
    </row>
    <row r="171" spans="5:5" x14ac:dyDescent="0.35">
      <c r="E171" s="10" t="s">
        <v>161</v>
      </c>
    </row>
    <row r="172" spans="5:5" x14ac:dyDescent="0.35">
      <c r="E172" s="10" t="s">
        <v>162</v>
      </c>
    </row>
    <row r="173" spans="5:5" x14ac:dyDescent="0.35">
      <c r="E173" s="10" t="s">
        <v>163</v>
      </c>
    </row>
    <row r="174" spans="5:5" x14ac:dyDescent="0.35">
      <c r="E174" s="10" t="s">
        <v>164</v>
      </c>
    </row>
    <row r="175" spans="5:5" x14ac:dyDescent="0.35">
      <c r="E175" s="10" t="s">
        <v>165</v>
      </c>
    </row>
    <row r="176" spans="5:5" x14ac:dyDescent="0.35">
      <c r="E176" s="10" t="s">
        <v>166</v>
      </c>
    </row>
    <row r="177" spans="5:5" x14ac:dyDescent="0.35">
      <c r="E177" s="10" t="s">
        <v>167</v>
      </c>
    </row>
    <row r="178" spans="5:5" x14ac:dyDescent="0.35">
      <c r="E178" s="10" t="s">
        <v>168</v>
      </c>
    </row>
    <row r="179" spans="5:5" x14ac:dyDescent="0.35">
      <c r="E179" s="10" t="s">
        <v>169</v>
      </c>
    </row>
    <row r="180" spans="5:5" x14ac:dyDescent="0.35">
      <c r="E180" s="10" t="s">
        <v>170</v>
      </c>
    </row>
    <row r="181" spans="5:5" x14ac:dyDescent="0.35">
      <c r="E181" s="10" t="s">
        <v>171</v>
      </c>
    </row>
    <row r="182" spans="5:5" x14ac:dyDescent="0.35">
      <c r="E182" s="10" t="s">
        <v>172</v>
      </c>
    </row>
    <row r="183" spans="5:5" x14ac:dyDescent="0.35">
      <c r="E183" s="10" t="s">
        <v>173</v>
      </c>
    </row>
    <row r="184" spans="5:5" x14ac:dyDescent="0.35">
      <c r="E184" s="10" t="s">
        <v>174</v>
      </c>
    </row>
    <row r="185" spans="5:5" x14ac:dyDescent="0.35">
      <c r="E185" s="10" t="s">
        <v>175</v>
      </c>
    </row>
    <row r="186" spans="5:5" x14ac:dyDescent="0.35">
      <c r="E186" s="10" t="s">
        <v>176</v>
      </c>
    </row>
    <row r="187" spans="5:5" x14ac:dyDescent="0.35">
      <c r="E187" s="10" t="s">
        <v>177</v>
      </c>
    </row>
    <row r="188" spans="5:5" x14ac:dyDescent="0.35">
      <c r="E188" s="10" t="s">
        <v>178</v>
      </c>
    </row>
    <row r="189" spans="5:5" x14ac:dyDescent="0.35">
      <c r="E189" s="10" t="s">
        <v>179</v>
      </c>
    </row>
    <row r="190" spans="5:5" x14ac:dyDescent="0.35">
      <c r="E190" s="10" t="s">
        <v>180</v>
      </c>
    </row>
    <row r="191" spans="5:5" x14ac:dyDescent="0.35">
      <c r="E191" s="10" t="s">
        <v>181</v>
      </c>
    </row>
    <row r="192" spans="5:5" x14ac:dyDescent="0.35">
      <c r="E192" s="10" t="s">
        <v>182</v>
      </c>
    </row>
    <row r="193" spans="5:5" x14ac:dyDescent="0.35">
      <c r="E193" s="10" t="s">
        <v>183</v>
      </c>
    </row>
    <row r="194" spans="5:5" x14ac:dyDescent="0.35">
      <c r="E194" s="10" t="s">
        <v>184</v>
      </c>
    </row>
    <row r="195" spans="5:5" x14ac:dyDescent="0.35">
      <c r="E195" s="10" t="s">
        <v>185</v>
      </c>
    </row>
    <row r="196" spans="5:5" x14ac:dyDescent="0.35">
      <c r="E196" s="10" t="s">
        <v>186</v>
      </c>
    </row>
    <row r="197" spans="5:5" x14ac:dyDescent="0.35">
      <c r="E197" s="10" t="s">
        <v>187</v>
      </c>
    </row>
    <row r="198" spans="5:5" x14ac:dyDescent="0.35">
      <c r="E198" s="10" t="s">
        <v>188</v>
      </c>
    </row>
    <row r="199" spans="5:5" x14ac:dyDescent="0.35">
      <c r="E199" s="10" t="s">
        <v>189</v>
      </c>
    </row>
    <row r="200" spans="5:5" x14ac:dyDescent="0.35">
      <c r="E200" s="10" t="s">
        <v>190</v>
      </c>
    </row>
    <row r="201" spans="5:5" x14ac:dyDescent="0.35">
      <c r="E201" s="10" t="s">
        <v>191</v>
      </c>
    </row>
    <row r="202" spans="5:5" x14ac:dyDescent="0.35">
      <c r="E202" s="10" t="s">
        <v>192</v>
      </c>
    </row>
    <row r="203" spans="5:5" x14ac:dyDescent="0.35">
      <c r="E203" s="10" t="s">
        <v>193</v>
      </c>
    </row>
    <row r="204" spans="5:5" x14ac:dyDescent="0.35">
      <c r="E204" s="10" t="s">
        <v>194</v>
      </c>
    </row>
    <row r="205" spans="5:5" x14ac:dyDescent="0.35">
      <c r="E205" s="10" t="s">
        <v>195</v>
      </c>
    </row>
    <row r="206" spans="5:5" x14ac:dyDescent="0.35">
      <c r="E206" s="10" t="s">
        <v>196</v>
      </c>
    </row>
    <row r="207" spans="5:5" x14ac:dyDescent="0.35">
      <c r="E207" s="10" t="s">
        <v>12</v>
      </c>
    </row>
    <row r="208" spans="5:5" x14ac:dyDescent="0.35">
      <c r="E208" s="10" t="s">
        <v>197</v>
      </c>
    </row>
    <row r="209" spans="5:5" x14ac:dyDescent="0.35">
      <c r="E209" s="10" t="s">
        <v>198</v>
      </c>
    </row>
    <row r="210" spans="5:5" x14ac:dyDescent="0.35">
      <c r="E210" s="10" t="s">
        <v>199</v>
      </c>
    </row>
    <row r="211" spans="5:5" x14ac:dyDescent="0.35">
      <c r="E211" s="10" t="s">
        <v>200</v>
      </c>
    </row>
    <row r="212" spans="5:5" x14ac:dyDescent="0.35">
      <c r="E212" s="10" t="s">
        <v>201</v>
      </c>
    </row>
    <row r="213" spans="5:5" x14ac:dyDescent="0.35">
      <c r="E213" s="10" t="s">
        <v>202</v>
      </c>
    </row>
    <row r="214" spans="5:5" x14ac:dyDescent="0.35">
      <c r="E214" s="10" t="s">
        <v>203</v>
      </c>
    </row>
    <row r="215" spans="5:5" x14ac:dyDescent="0.35">
      <c r="E215" s="10" t="s">
        <v>204</v>
      </c>
    </row>
    <row r="216" spans="5:5" x14ac:dyDescent="0.35">
      <c r="E216" s="10" t="s">
        <v>205</v>
      </c>
    </row>
    <row r="217" spans="5:5" x14ac:dyDescent="0.35">
      <c r="E217" s="10" t="s">
        <v>206</v>
      </c>
    </row>
    <row r="218" spans="5:5" x14ac:dyDescent="0.35">
      <c r="E218" s="10" t="s">
        <v>19</v>
      </c>
    </row>
    <row r="219" spans="5:5" x14ac:dyDescent="0.35">
      <c r="E219" s="10" t="s">
        <v>207</v>
      </c>
    </row>
    <row r="220" spans="5:5" x14ac:dyDescent="0.35">
      <c r="E220" s="10" t="s">
        <v>208</v>
      </c>
    </row>
    <row r="221" spans="5:5" x14ac:dyDescent="0.35">
      <c r="E221" s="10" t="s">
        <v>209</v>
      </c>
    </row>
    <row r="222" spans="5:5" x14ac:dyDescent="0.35">
      <c r="E222" s="10" t="s">
        <v>210</v>
      </c>
    </row>
    <row r="223" spans="5:5" x14ac:dyDescent="0.35">
      <c r="E223" s="10" t="s">
        <v>211</v>
      </c>
    </row>
    <row r="224" spans="5:5" x14ac:dyDescent="0.35">
      <c r="E224" s="10" t="s">
        <v>212</v>
      </c>
    </row>
    <row r="225" spans="5:5" x14ac:dyDescent="0.35">
      <c r="E225" s="10"/>
    </row>
  </sheetData>
  <mergeCells count="1">
    <mergeCell ref="D2:J4"/>
  </mergeCells>
  <dataValidations count="1">
    <dataValidation type="list" allowBlank="1" showInputMessage="1" showErrorMessage="1" sqref="F17:H17" xr:uid="{6954918D-62D4-4F64-8977-D42EFC572E32}">
      <formula1>$E$22:$E$224</formula1>
    </dataValidation>
  </dataValidations>
  <hyperlinks>
    <hyperlink ref="E20" r:id="rId1" xr:uid="{252106BF-4EA7-474F-8E4D-BC9DD7A4FA25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in">
                <anchor moveWithCells="1" sizeWithCells="1">
                  <from>
                    <xdr:col>4</xdr:col>
                    <xdr:colOff>730250</xdr:colOff>
                    <xdr:row>10</xdr:row>
                    <xdr:rowOff>0</xdr:rowOff>
                  </from>
                  <to>
                    <xdr:col>7</xdr:col>
                    <xdr:colOff>742950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5FC24-5175-427B-BD96-F799251AF864}">
  <sheetPr codeName="Feuil2"/>
  <dimension ref="A1:F34"/>
  <sheetViews>
    <sheetView zoomScale="70" zoomScaleNormal="70" workbookViewId="0">
      <selection activeCell="Q6" sqref="Q6"/>
    </sheetView>
  </sheetViews>
  <sheetFormatPr baseColWidth="10" defaultRowHeight="14.5" x14ac:dyDescent="0.35"/>
  <cols>
    <col min="1" max="1" width="10.90625" style="2"/>
    <col min="2" max="2" width="17.90625" bestFit="1" customWidth="1"/>
  </cols>
  <sheetData>
    <row r="1" spans="1:6" x14ac:dyDescent="0.35">
      <c r="A1" s="21" t="s">
        <v>0</v>
      </c>
      <c r="B1" s="20" t="s">
        <v>4</v>
      </c>
      <c r="C1" s="20"/>
      <c r="D1" s="20"/>
    </row>
    <row r="2" spans="1:6" x14ac:dyDescent="0.35">
      <c r="A2" s="22"/>
      <c r="B2" s="4" t="str">
        <f>pays1</f>
        <v>Suède</v>
      </c>
      <c r="C2" s="5" t="str">
        <f>pays2</f>
        <v>Maroc</v>
      </c>
      <c r="D2" s="4" t="str">
        <f>pays3</f>
        <v>Japon</v>
      </c>
    </row>
    <row r="3" spans="1:6" x14ac:dyDescent="0.35">
      <c r="A3" s="8">
        <f ca="1">TODAY()</f>
        <v>44472</v>
      </c>
      <c r="B3" s="1">
        <v>1153655</v>
      </c>
      <c r="C3" s="1">
        <v>935332</v>
      </c>
      <c r="D3" s="1">
        <v>1705916</v>
      </c>
      <c r="F3" s="1"/>
    </row>
    <row r="4" spans="1:6" x14ac:dyDescent="0.35">
      <c r="A4" s="8">
        <f ca="1">A3-1</f>
        <v>44471</v>
      </c>
      <c r="B4" s="1">
        <v>1153655</v>
      </c>
      <c r="C4" s="1">
        <v>934828</v>
      </c>
      <c r="D4" s="1">
        <v>1704958</v>
      </c>
    </row>
    <row r="5" spans="1:6" x14ac:dyDescent="0.35">
      <c r="A5" s="8">
        <f t="shared" ref="A5:A33" ca="1" si="0">A4-1</f>
        <v>44470</v>
      </c>
      <c r="B5" s="1">
        <v>1153655</v>
      </c>
      <c r="C5" s="1">
        <v>934007</v>
      </c>
      <c r="D5" s="1">
        <v>1703706</v>
      </c>
    </row>
    <row r="6" spans="1:6" x14ac:dyDescent="0.35">
      <c r="A6" s="8">
        <f t="shared" ca="1" si="0"/>
        <v>44469</v>
      </c>
      <c r="B6" s="1">
        <v>1152886</v>
      </c>
      <c r="C6" s="1">
        <v>933071</v>
      </c>
      <c r="D6" s="1">
        <v>1702255</v>
      </c>
    </row>
    <row r="7" spans="1:6" x14ac:dyDescent="0.35">
      <c r="A7" s="8">
        <f t="shared" ca="1" si="0"/>
        <v>44468</v>
      </c>
      <c r="B7" s="1">
        <v>1152027</v>
      </c>
      <c r="C7" s="1">
        <v>931973</v>
      </c>
      <c r="D7" s="1">
        <v>1700687</v>
      </c>
    </row>
    <row r="8" spans="1:6" x14ac:dyDescent="0.35">
      <c r="A8" s="8">
        <f t="shared" ca="1" si="0"/>
        <v>44467</v>
      </c>
      <c r="B8" s="1">
        <v>1151173</v>
      </c>
      <c r="C8" s="1">
        <v>930891</v>
      </c>
      <c r="D8" s="1">
        <v>1698693</v>
      </c>
    </row>
    <row r="9" spans="1:6" x14ac:dyDescent="0.35">
      <c r="A9" s="8">
        <f t="shared" ca="1" si="0"/>
        <v>44466</v>
      </c>
      <c r="B9" s="1">
        <v>1149407</v>
      </c>
      <c r="C9" s="1">
        <v>929699</v>
      </c>
      <c r="D9" s="1">
        <v>1696971</v>
      </c>
    </row>
    <row r="10" spans="1:6" x14ac:dyDescent="0.35">
      <c r="A10" s="8">
        <f t="shared" ca="1" si="0"/>
        <v>44465</v>
      </c>
      <c r="B10" s="1">
        <v>1149407</v>
      </c>
      <c r="C10" s="1">
        <v>929305</v>
      </c>
      <c r="D10" s="1">
        <v>1695824</v>
      </c>
    </row>
    <row r="11" spans="1:6" x14ac:dyDescent="0.35">
      <c r="A11" s="8">
        <f t="shared" ca="1" si="0"/>
        <v>44464</v>
      </c>
      <c r="B11" s="1">
        <v>1149407</v>
      </c>
      <c r="C11" s="1">
        <v>928571</v>
      </c>
      <c r="D11" s="1">
        <v>1693690</v>
      </c>
    </row>
    <row r="12" spans="1:6" x14ac:dyDescent="0.35">
      <c r="A12" s="8">
        <f t="shared" ca="1" si="0"/>
        <v>44463</v>
      </c>
      <c r="B12" s="1">
        <v>1149407</v>
      </c>
      <c r="C12" s="1">
        <v>927127</v>
      </c>
      <c r="D12" s="1">
        <v>1690987</v>
      </c>
    </row>
    <row r="13" spans="1:6" x14ac:dyDescent="0.35">
      <c r="A13" s="8">
        <f t="shared" ca="1" si="0"/>
        <v>44462</v>
      </c>
      <c r="B13" s="1">
        <v>1148641</v>
      </c>
      <c r="C13" s="1">
        <v>925507</v>
      </c>
      <c r="D13" s="1">
        <v>1688929</v>
      </c>
    </row>
    <row r="14" spans="1:6" x14ac:dyDescent="0.35">
      <c r="A14" s="8">
        <f t="shared" ca="1" si="0"/>
        <v>44461</v>
      </c>
      <c r="B14" s="1">
        <v>1147879</v>
      </c>
      <c r="C14" s="1">
        <v>923924</v>
      </c>
      <c r="D14" s="1">
        <v>1685325</v>
      </c>
    </row>
    <row r="15" spans="1:6" x14ac:dyDescent="0.35">
      <c r="A15" s="8">
        <f t="shared" ca="1" si="0"/>
        <v>44460</v>
      </c>
      <c r="B15" s="1">
        <v>1146968</v>
      </c>
      <c r="C15" s="1">
        <v>922222</v>
      </c>
      <c r="D15" s="1">
        <v>1682089</v>
      </c>
    </row>
    <row r="16" spans="1:6" x14ac:dyDescent="0.35">
      <c r="A16" s="8">
        <f t="shared" ca="1" si="0"/>
        <v>44459</v>
      </c>
      <c r="B16" s="1">
        <v>1144982</v>
      </c>
      <c r="C16" s="1">
        <v>920374</v>
      </c>
      <c r="D16" s="1">
        <v>1680328</v>
      </c>
    </row>
    <row r="17" spans="1:4" x14ac:dyDescent="0.35">
      <c r="A17" s="8">
        <f t="shared" ca="1" si="0"/>
        <v>44458</v>
      </c>
      <c r="B17" s="1">
        <v>1144982</v>
      </c>
      <c r="C17" s="1">
        <v>919681</v>
      </c>
      <c r="D17" s="1">
        <v>1678092</v>
      </c>
    </row>
    <row r="18" spans="1:4" x14ac:dyDescent="0.35">
      <c r="A18" s="8">
        <f t="shared" ca="1" si="0"/>
        <v>44457</v>
      </c>
      <c r="B18" s="1">
        <v>1144982</v>
      </c>
      <c r="C18" s="1">
        <v>918126</v>
      </c>
      <c r="D18" s="1">
        <v>1674684</v>
      </c>
    </row>
    <row r="19" spans="1:4" x14ac:dyDescent="0.35">
      <c r="A19" s="8">
        <f t="shared" ca="1" si="0"/>
        <v>44456</v>
      </c>
      <c r="B19" s="1">
        <v>1144982</v>
      </c>
      <c r="C19" s="1">
        <v>915835</v>
      </c>
      <c r="D19" s="1">
        <v>1669982</v>
      </c>
    </row>
    <row r="20" spans="1:4" x14ac:dyDescent="0.35">
      <c r="A20" s="8">
        <f t="shared" ca="1" si="0"/>
        <v>44455</v>
      </c>
      <c r="B20" s="1">
        <v>1143973</v>
      </c>
      <c r="C20" s="1">
        <v>913423</v>
      </c>
      <c r="D20" s="1">
        <v>1663818</v>
      </c>
    </row>
    <row r="21" spans="1:4" x14ac:dyDescent="0.35">
      <c r="A21" s="8">
        <f t="shared" ca="1" si="0"/>
        <v>44454</v>
      </c>
      <c r="B21" s="1">
        <v>1142770</v>
      </c>
      <c r="C21" s="1">
        <v>910991</v>
      </c>
      <c r="D21" s="1">
        <v>1659192</v>
      </c>
    </row>
    <row r="22" spans="1:4" x14ac:dyDescent="0.35">
      <c r="A22" s="8">
        <f t="shared" ca="1" si="0"/>
        <v>44453</v>
      </c>
      <c r="B22" s="1">
        <v>1141673</v>
      </c>
      <c r="C22" s="1">
        <v>908349</v>
      </c>
      <c r="D22" s="1">
        <v>1652383</v>
      </c>
    </row>
    <row r="23" spans="1:4" x14ac:dyDescent="0.35">
      <c r="A23" s="8">
        <f t="shared" ca="1" si="0"/>
        <v>44452</v>
      </c>
      <c r="B23" s="1">
        <v>1138017</v>
      </c>
      <c r="C23" s="1">
        <v>905564</v>
      </c>
      <c r="D23" s="1">
        <v>1646128</v>
      </c>
    </row>
    <row r="24" spans="1:4" x14ac:dyDescent="0.35">
      <c r="A24" s="8">
        <f t="shared" ca="1" si="0"/>
        <v>44451</v>
      </c>
      <c r="B24" s="1">
        <v>1138017</v>
      </c>
      <c r="C24" s="1">
        <v>904647</v>
      </c>
      <c r="D24" s="1">
        <v>1641963</v>
      </c>
    </row>
    <row r="25" spans="1:4" x14ac:dyDescent="0.35">
      <c r="A25" s="8">
        <f t="shared" ca="1" si="0"/>
        <v>44450</v>
      </c>
      <c r="B25" s="1">
        <v>1138017</v>
      </c>
      <c r="C25" s="1">
        <v>902694</v>
      </c>
      <c r="D25" s="1">
        <v>1634758</v>
      </c>
    </row>
    <row r="26" spans="1:4" x14ac:dyDescent="0.35">
      <c r="A26" s="8">
        <f t="shared" ca="1" si="0"/>
        <v>44449</v>
      </c>
      <c r="B26" s="1">
        <v>1138017</v>
      </c>
      <c r="C26" s="1">
        <v>899581</v>
      </c>
      <c r="D26" s="1">
        <v>1625909</v>
      </c>
    </row>
    <row r="27" spans="1:4" x14ac:dyDescent="0.35">
      <c r="A27" s="8">
        <f t="shared" ca="1" si="0"/>
        <v>44448</v>
      </c>
      <c r="B27" s="1">
        <v>1136535</v>
      </c>
      <c r="C27" s="1">
        <v>896913</v>
      </c>
      <c r="D27" s="1">
        <v>1617099</v>
      </c>
    </row>
    <row r="28" spans="1:4" x14ac:dyDescent="0.35">
      <c r="A28" s="8">
        <f t="shared" ca="1" si="0"/>
        <v>44447</v>
      </c>
      <c r="B28" s="1">
        <v>1135160</v>
      </c>
      <c r="C28" s="1">
        <v>893462</v>
      </c>
      <c r="D28" s="1">
        <v>1606710</v>
      </c>
    </row>
    <row r="29" spans="1:4" x14ac:dyDescent="0.35">
      <c r="A29" s="8">
        <f t="shared" ca="1" si="0"/>
        <v>44446</v>
      </c>
      <c r="B29" s="1">
        <v>1133449</v>
      </c>
      <c r="C29" s="1">
        <v>889532</v>
      </c>
      <c r="D29" s="1">
        <v>1594299</v>
      </c>
    </row>
    <row r="30" spans="1:4" x14ac:dyDescent="0.35">
      <c r="A30" s="8">
        <f t="shared" ca="1" si="0"/>
        <v>44445</v>
      </c>
      <c r="B30" s="1">
        <v>1130525</v>
      </c>
      <c r="C30" s="1">
        <v>886008</v>
      </c>
      <c r="D30" s="1">
        <v>1583665</v>
      </c>
    </row>
    <row r="31" spans="1:4" x14ac:dyDescent="0.35">
      <c r="A31" s="8">
        <f t="shared" ca="1" si="0"/>
        <v>44444</v>
      </c>
      <c r="B31" s="1">
        <v>1130525</v>
      </c>
      <c r="C31" s="1">
        <v>884085</v>
      </c>
      <c r="D31" s="1">
        <v>1575383</v>
      </c>
    </row>
    <row r="32" spans="1:4" x14ac:dyDescent="0.35">
      <c r="A32" s="8">
        <f t="shared" ca="1" si="0"/>
        <v>44443</v>
      </c>
      <c r="B32" s="1">
        <v>1130525</v>
      </c>
      <c r="C32" s="1">
        <v>881042</v>
      </c>
      <c r="D32" s="1">
        <v>1562476</v>
      </c>
    </row>
    <row r="33" spans="1:4" x14ac:dyDescent="0.35">
      <c r="A33" s="8">
        <f t="shared" ca="1" si="0"/>
        <v>44442</v>
      </c>
      <c r="B33" s="1">
        <v>1130525</v>
      </c>
      <c r="C33" s="1">
        <v>876732</v>
      </c>
      <c r="D33" s="1">
        <v>1546477</v>
      </c>
    </row>
    <row r="34" spans="1:4" x14ac:dyDescent="0.35">
      <c r="A34" s="8"/>
    </row>
  </sheetData>
  <dataConsolidate/>
  <mergeCells count="2">
    <mergeCell ref="B1:D1"/>
    <mergeCell ref="A1:A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496AA-E283-493B-BB11-FC8C840F56E7}">
  <sheetPr codeName="Feuil3"/>
  <dimension ref="A1:D33"/>
  <sheetViews>
    <sheetView zoomScale="70" zoomScaleNormal="70" workbookViewId="0">
      <selection activeCell="C35" sqref="C35"/>
    </sheetView>
  </sheetViews>
  <sheetFormatPr baseColWidth="10" defaultRowHeight="14.5" x14ac:dyDescent="0.35"/>
  <cols>
    <col min="2" max="2" width="15.36328125" bestFit="1" customWidth="1"/>
  </cols>
  <sheetData>
    <row r="1" spans="1:4" x14ac:dyDescent="0.35">
      <c r="A1" s="23" t="s">
        <v>0</v>
      </c>
      <c r="B1" s="20" t="s">
        <v>2</v>
      </c>
      <c r="C1" s="20"/>
      <c r="D1" s="20"/>
    </row>
    <row r="2" spans="1:4" x14ac:dyDescent="0.35">
      <c r="A2" s="23"/>
      <c r="B2" s="4" t="str">
        <f>pays1</f>
        <v>Suède</v>
      </c>
      <c r="C2" s="5" t="str">
        <f>pays2</f>
        <v>Maroc</v>
      </c>
      <c r="D2" s="4" t="str">
        <f>pays3</f>
        <v>Japon</v>
      </c>
    </row>
    <row r="3" spans="1:4" x14ac:dyDescent="0.35">
      <c r="A3" s="8">
        <f ca="1">TODAY()</f>
        <v>44472</v>
      </c>
      <c r="B3" s="1">
        <v>14868</v>
      </c>
      <c r="C3" s="1">
        <v>14339</v>
      </c>
      <c r="D3" s="1">
        <v>17747</v>
      </c>
    </row>
    <row r="4" spans="1:4" x14ac:dyDescent="0.35">
      <c r="A4" s="8">
        <f ca="1">A3-1</f>
        <v>44471</v>
      </c>
      <c r="B4" s="1">
        <v>14868</v>
      </c>
      <c r="C4" s="1">
        <v>14315</v>
      </c>
      <c r="D4" s="1">
        <v>17730</v>
      </c>
    </row>
    <row r="5" spans="1:4" x14ac:dyDescent="0.35">
      <c r="A5" s="8">
        <f t="shared" ref="A5:A33" ca="1" si="0">A4-1</f>
        <v>44470</v>
      </c>
      <c r="B5" s="1">
        <v>14868</v>
      </c>
      <c r="C5" s="1">
        <v>14290</v>
      </c>
      <c r="D5" s="1">
        <v>17698</v>
      </c>
    </row>
    <row r="6" spans="1:4" x14ac:dyDescent="0.35">
      <c r="A6" s="8">
        <f t="shared" ca="1" si="0"/>
        <v>44469</v>
      </c>
      <c r="B6" s="1">
        <v>14864</v>
      </c>
      <c r="C6" s="1">
        <v>14267</v>
      </c>
      <c r="D6" s="1">
        <v>17664</v>
      </c>
    </row>
    <row r="7" spans="1:4" x14ac:dyDescent="0.35">
      <c r="A7" s="8">
        <f t="shared" ca="1" si="0"/>
        <v>44468</v>
      </c>
      <c r="B7" s="1">
        <v>14856</v>
      </c>
      <c r="C7" s="1">
        <v>14248</v>
      </c>
      <c r="D7" s="1">
        <v>17622</v>
      </c>
    </row>
    <row r="8" spans="1:4" x14ac:dyDescent="0.35">
      <c r="A8" s="8">
        <f t="shared" ca="1" si="0"/>
        <v>44467</v>
      </c>
      <c r="B8" s="1">
        <v>14850</v>
      </c>
      <c r="C8" s="1">
        <v>14225</v>
      </c>
      <c r="D8" s="1">
        <v>17574</v>
      </c>
    </row>
    <row r="9" spans="1:4" x14ac:dyDescent="0.35">
      <c r="A9" s="8">
        <f t="shared" ca="1" si="0"/>
        <v>44466</v>
      </c>
      <c r="B9" s="1">
        <v>14821</v>
      </c>
      <c r="C9" s="1">
        <v>14199</v>
      </c>
      <c r="D9" s="1">
        <v>17524</v>
      </c>
    </row>
    <row r="10" spans="1:4" x14ac:dyDescent="0.35">
      <c r="A10" s="8">
        <f t="shared" ca="1" si="0"/>
        <v>44465</v>
      </c>
      <c r="B10" s="1">
        <v>14821</v>
      </c>
      <c r="C10" s="1">
        <v>14167</v>
      </c>
      <c r="D10" s="1">
        <v>17496</v>
      </c>
    </row>
    <row r="11" spans="1:4" x14ac:dyDescent="0.35">
      <c r="A11" s="8">
        <f t="shared" ca="1" si="0"/>
        <v>44464</v>
      </c>
      <c r="B11" s="1">
        <v>14821</v>
      </c>
      <c r="C11" s="1">
        <v>14132</v>
      </c>
      <c r="D11" s="1">
        <v>17475</v>
      </c>
    </row>
    <row r="12" spans="1:4" x14ac:dyDescent="0.35">
      <c r="A12" s="8">
        <f t="shared" ca="1" si="0"/>
        <v>44463</v>
      </c>
      <c r="B12" s="1">
        <v>14821</v>
      </c>
      <c r="C12" s="1">
        <v>14102</v>
      </c>
      <c r="D12" s="1">
        <v>17442</v>
      </c>
    </row>
    <row r="13" spans="1:4" x14ac:dyDescent="0.35">
      <c r="A13" s="8">
        <f t="shared" ca="1" si="0"/>
        <v>44462</v>
      </c>
      <c r="B13" s="1">
        <v>14813</v>
      </c>
      <c r="C13" s="1">
        <v>14076</v>
      </c>
      <c r="D13" s="1">
        <v>17397</v>
      </c>
    </row>
    <row r="14" spans="1:4" x14ac:dyDescent="0.35">
      <c r="A14" s="8">
        <f t="shared" ca="1" si="0"/>
        <v>44461</v>
      </c>
      <c r="B14" s="1">
        <v>14809</v>
      </c>
      <c r="C14" s="1">
        <v>14040</v>
      </c>
      <c r="D14" s="1">
        <v>17348</v>
      </c>
    </row>
    <row r="15" spans="1:4" x14ac:dyDescent="0.35">
      <c r="A15" s="8">
        <f t="shared" ca="1" si="0"/>
        <v>44460</v>
      </c>
      <c r="B15" s="1">
        <v>14790</v>
      </c>
      <c r="C15" s="1">
        <v>14009</v>
      </c>
      <c r="D15" s="1">
        <v>17294</v>
      </c>
    </row>
    <row r="16" spans="1:4" x14ac:dyDescent="0.35">
      <c r="A16" s="8">
        <f t="shared" ca="1" si="0"/>
        <v>44459</v>
      </c>
      <c r="B16" s="1">
        <v>14775</v>
      </c>
      <c r="C16" s="1">
        <v>13958</v>
      </c>
      <c r="D16" s="1">
        <v>17247</v>
      </c>
    </row>
    <row r="17" spans="1:4" x14ac:dyDescent="0.35">
      <c r="A17" s="8">
        <f t="shared" ca="1" si="0"/>
        <v>44458</v>
      </c>
      <c r="B17" s="1">
        <v>14775</v>
      </c>
      <c r="C17" s="1">
        <v>13910</v>
      </c>
      <c r="D17" s="1">
        <v>17224</v>
      </c>
    </row>
    <row r="18" spans="1:4" x14ac:dyDescent="0.35">
      <c r="A18" s="8">
        <f t="shared" ca="1" si="0"/>
        <v>44457</v>
      </c>
      <c r="B18" s="1">
        <v>14775</v>
      </c>
      <c r="C18" s="1">
        <v>13876</v>
      </c>
      <c r="D18" s="1">
        <v>17183</v>
      </c>
    </row>
    <row r="19" spans="1:4" x14ac:dyDescent="0.35">
      <c r="A19" s="8">
        <f t="shared" ca="1" si="0"/>
        <v>44456</v>
      </c>
      <c r="B19" s="1">
        <v>14775</v>
      </c>
      <c r="C19" s="1">
        <v>13828</v>
      </c>
      <c r="D19" s="1">
        <v>17120</v>
      </c>
    </row>
    <row r="20" spans="1:4" x14ac:dyDescent="0.35">
      <c r="A20" s="8">
        <f t="shared" ca="1" si="0"/>
        <v>44455</v>
      </c>
      <c r="B20" s="1">
        <v>14753</v>
      </c>
      <c r="C20" s="1">
        <v>13775</v>
      </c>
      <c r="D20" s="1">
        <v>17051</v>
      </c>
    </row>
    <row r="21" spans="1:4" x14ac:dyDescent="0.35">
      <c r="A21" s="8">
        <f t="shared" ca="1" si="0"/>
        <v>44454</v>
      </c>
      <c r="B21" s="1">
        <v>14740</v>
      </c>
      <c r="C21" s="1">
        <v>13729</v>
      </c>
      <c r="D21" s="1">
        <v>16993</v>
      </c>
    </row>
    <row r="22" spans="1:4" x14ac:dyDescent="0.35">
      <c r="A22" s="8">
        <f t="shared" ca="1" si="0"/>
        <v>44453</v>
      </c>
      <c r="B22" s="1">
        <v>14729</v>
      </c>
      <c r="C22" s="1">
        <v>13683</v>
      </c>
      <c r="D22" s="1">
        <v>16919</v>
      </c>
    </row>
    <row r="23" spans="1:4" x14ac:dyDescent="0.35">
      <c r="A23" s="8">
        <f t="shared" ca="1" si="0"/>
        <v>44452</v>
      </c>
      <c r="B23" s="1">
        <v>14703</v>
      </c>
      <c r="C23" s="1">
        <v>13618</v>
      </c>
      <c r="D23" s="1">
        <v>16864</v>
      </c>
    </row>
    <row r="24" spans="1:4" x14ac:dyDescent="0.35">
      <c r="A24" s="8">
        <f t="shared" ca="1" si="0"/>
        <v>44451</v>
      </c>
      <c r="B24" s="1">
        <v>14703</v>
      </c>
      <c r="C24" s="1">
        <v>13546</v>
      </c>
      <c r="D24" s="1">
        <v>16814</v>
      </c>
    </row>
    <row r="25" spans="1:4" x14ac:dyDescent="0.35">
      <c r="A25" s="8">
        <f t="shared" ca="1" si="0"/>
        <v>44450</v>
      </c>
      <c r="B25" s="1">
        <v>14703</v>
      </c>
      <c r="C25" s="1">
        <v>13488</v>
      </c>
      <c r="D25" s="1">
        <v>16773</v>
      </c>
    </row>
    <row r="26" spans="1:4" x14ac:dyDescent="0.35">
      <c r="A26" s="8">
        <f t="shared" ca="1" si="0"/>
        <v>44449</v>
      </c>
      <c r="B26" s="1">
        <v>14703</v>
      </c>
      <c r="C26" s="1">
        <v>13436</v>
      </c>
      <c r="D26" s="1">
        <v>16717</v>
      </c>
    </row>
    <row r="27" spans="1:4" x14ac:dyDescent="0.35">
      <c r="A27" s="8">
        <f t="shared" ca="1" si="0"/>
        <v>44448</v>
      </c>
      <c r="B27" s="1">
        <v>14702</v>
      </c>
      <c r="C27" s="1">
        <v>13370</v>
      </c>
      <c r="D27" s="1">
        <v>16649</v>
      </c>
    </row>
    <row r="28" spans="1:4" x14ac:dyDescent="0.35">
      <c r="A28" s="8">
        <f t="shared" ca="1" si="0"/>
        <v>44447</v>
      </c>
      <c r="B28" s="1">
        <v>14700</v>
      </c>
      <c r="C28" s="1">
        <v>13296</v>
      </c>
      <c r="D28" s="1">
        <v>16561</v>
      </c>
    </row>
    <row r="29" spans="1:4" x14ac:dyDescent="0.35">
      <c r="A29" s="8">
        <f t="shared" ca="1" si="0"/>
        <v>44446</v>
      </c>
      <c r="B29" s="1">
        <v>14699</v>
      </c>
      <c r="C29" s="1">
        <v>13224</v>
      </c>
      <c r="D29" s="1">
        <v>16471</v>
      </c>
    </row>
    <row r="30" spans="1:4" x14ac:dyDescent="0.35">
      <c r="A30" s="8">
        <f t="shared" ca="1" si="0"/>
        <v>44445</v>
      </c>
      <c r="B30" s="1">
        <v>14692</v>
      </c>
      <c r="C30" s="1">
        <v>13145</v>
      </c>
      <c r="D30" s="1">
        <v>16409</v>
      </c>
    </row>
    <row r="31" spans="1:4" x14ac:dyDescent="0.35">
      <c r="A31" s="8">
        <f t="shared" ca="1" si="0"/>
        <v>44444</v>
      </c>
      <c r="B31" s="1">
        <v>14692</v>
      </c>
      <c r="C31" s="1">
        <v>13073</v>
      </c>
      <c r="D31" s="1">
        <v>16369</v>
      </c>
    </row>
    <row r="32" spans="1:4" x14ac:dyDescent="0.35">
      <c r="A32" s="8">
        <f t="shared" ca="1" si="0"/>
        <v>44443</v>
      </c>
      <c r="B32" s="1">
        <v>14692</v>
      </c>
      <c r="C32" s="1">
        <v>12993</v>
      </c>
      <c r="D32" s="1">
        <v>16339</v>
      </c>
    </row>
    <row r="33" spans="1:4" x14ac:dyDescent="0.35">
      <c r="A33" s="8">
        <f t="shared" ca="1" si="0"/>
        <v>44442</v>
      </c>
      <c r="B33" s="1">
        <v>14692</v>
      </c>
      <c r="C33" s="1">
        <v>12923</v>
      </c>
      <c r="D33" s="1">
        <v>16279</v>
      </c>
    </row>
  </sheetData>
  <mergeCells count="2">
    <mergeCell ref="B1:D1"/>
    <mergeCell ref="A1:A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94AF-96C4-4DAF-A7FC-C6DD58B6AD02}">
  <sheetPr codeName="Feuil5"/>
  <dimension ref="A1:D33"/>
  <sheetViews>
    <sheetView zoomScale="70" zoomScaleNormal="70" workbookViewId="0">
      <selection activeCell="Q10" sqref="Q10"/>
    </sheetView>
  </sheetViews>
  <sheetFormatPr baseColWidth="10" defaultRowHeight="14.5" x14ac:dyDescent="0.35"/>
  <cols>
    <col min="1" max="1" width="11.54296875" bestFit="1" customWidth="1"/>
    <col min="2" max="2" width="18.7265625" bestFit="1" customWidth="1"/>
  </cols>
  <sheetData>
    <row r="1" spans="1:4" x14ac:dyDescent="0.35">
      <c r="A1" s="23" t="s">
        <v>0</v>
      </c>
      <c r="B1" s="20" t="s">
        <v>16</v>
      </c>
      <c r="C1" s="20"/>
      <c r="D1" s="20"/>
    </row>
    <row r="2" spans="1:4" x14ac:dyDescent="0.35">
      <c r="A2" s="23"/>
      <c r="B2" s="4" t="str">
        <f>pays1</f>
        <v>Suède</v>
      </c>
      <c r="C2" s="5" t="str">
        <f>pays2</f>
        <v>Maroc</v>
      </c>
      <c r="D2" s="4" t="str">
        <f>pays3</f>
        <v>Japon</v>
      </c>
    </row>
    <row r="3" spans="1:4" x14ac:dyDescent="0.35">
      <c r="A3" s="8">
        <f ca="1">TODAY()</f>
        <v>44472</v>
      </c>
      <c r="B3" s="9">
        <v>1.29</v>
      </c>
      <c r="C3" s="9">
        <v>1.53</v>
      </c>
      <c r="D3" s="9">
        <v>1.04</v>
      </c>
    </row>
    <row r="4" spans="1:4" x14ac:dyDescent="0.35">
      <c r="A4" s="8">
        <f ca="1">A3-1</f>
        <v>44471</v>
      </c>
      <c r="B4" s="9">
        <v>1.29</v>
      </c>
      <c r="C4" s="9">
        <v>1.53</v>
      </c>
      <c r="D4" s="9">
        <v>1.04</v>
      </c>
    </row>
    <row r="5" spans="1:4" x14ac:dyDescent="0.35">
      <c r="A5" s="8">
        <f t="shared" ref="A5:A33" ca="1" si="0">A4-1</f>
        <v>44470</v>
      </c>
      <c r="B5" s="9">
        <v>1.29</v>
      </c>
      <c r="C5" s="9">
        <v>1.53</v>
      </c>
      <c r="D5" s="9">
        <v>1.04</v>
      </c>
    </row>
    <row r="6" spans="1:4" x14ac:dyDescent="0.35">
      <c r="A6" s="8">
        <f t="shared" ca="1" si="0"/>
        <v>44469</v>
      </c>
      <c r="B6" s="9">
        <v>1.29</v>
      </c>
      <c r="C6" s="9">
        <v>1.53</v>
      </c>
      <c r="D6" s="9">
        <v>1.04</v>
      </c>
    </row>
    <row r="7" spans="1:4" x14ac:dyDescent="0.35">
      <c r="A7" s="8">
        <f t="shared" ca="1" si="0"/>
        <v>44468</v>
      </c>
      <c r="B7" s="9">
        <v>1.29</v>
      </c>
      <c r="C7" s="9">
        <v>1.53</v>
      </c>
      <c r="D7" s="9">
        <v>1.04</v>
      </c>
    </row>
    <row r="8" spans="1:4" x14ac:dyDescent="0.35">
      <c r="A8" s="8">
        <f t="shared" ca="1" si="0"/>
        <v>44467</v>
      </c>
      <c r="B8" s="9">
        <v>1.29</v>
      </c>
      <c r="C8" s="9">
        <v>1.53</v>
      </c>
      <c r="D8" s="9">
        <v>1.03</v>
      </c>
    </row>
    <row r="9" spans="1:4" x14ac:dyDescent="0.35">
      <c r="A9" s="8">
        <f t="shared" ca="1" si="0"/>
        <v>44466</v>
      </c>
      <c r="B9" s="9">
        <v>1.29</v>
      </c>
      <c r="C9" s="9">
        <v>1.53</v>
      </c>
      <c r="D9" s="9">
        <v>1.03</v>
      </c>
    </row>
    <row r="10" spans="1:4" x14ac:dyDescent="0.35">
      <c r="A10" s="8">
        <f t="shared" ca="1" si="0"/>
        <v>44465</v>
      </c>
      <c r="B10" s="9">
        <v>1.29</v>
      </c>
      <c r="C10" s="9">
        <v>1.52</v>
      </c>
      <c r="D10" s="9">
        <v>1.03</v>
      </c>
    </row>
    <row r="11" spans="1:4" x14ac:dyDescent="0.35">
      <c r="A11" s="8">
        <f t="shared" ca="1" si="0"/>
        <v>44464</v>
      </c>
      <c r="B11" s="9">
        <v>1.29</v>
      </c>
      <c r="C11" s="9">
        <v>1.52</v>
      </c>
      <c r="D11" s="9">
        <v>1.03</v>
      </c>
    </row>
    <row r="12" spans="1:4" x14ac:dyDescent="0.35">
      <c r="A12" s="8">
        <f t="shared" ca="1" si="0"/>
        <v>44463</v>
      </c>
      <c r="B12" s="9">
        <v>1.29</v>
      </c>
      <c r="C12" s="9">
        <v>1.52</v>
      </c>
      <c r="D12" s="9">
        <v>1.03</v>
      </c>
    </row>
    <row r="13" spans="1:4" x14ac:dyDescent="0.35">
      <c r="A13" s="8">
        <f t="shared" ca="1" si="0"/>
        <v>44462</v>
      </c>
      <c r="B13" s="9">
        <v>1.29</v>
      </c>
      <c r="C13" s="9">
        <v>1.52</v>
      </c>
      <c r="D13" s="9">
        <v>1.03</v>
      </c>
    </row>
    <row r="14" spans="1:4" x14ac:dyDescent="0.35">
      <c r="A14" s="8">
        <f t="shared" ca="1" si="0"/>
        <v>44461</v>
      </c>
      <c r="B14" s="9">
        <v>1.29</v>
      </c>
      <c r="C14" s="9">
        <v>1.52</v>
      </c>
      <c r="D14" s="9">
        <v>1.03</v>
      </c>
    </row>
    <row r="15" spans="1:4" x14ac:dyDescent="0.35">
      <c r="A15" s="8">
        <f t="shared" ca="1" si="0"/>
        <v>44460</v>
      </c>
      <c r="B15" s="9">
        <v>1.29</v>
      </c>
      <c r="C15" s="9">
        <v>1.52</v>
      </c>
      <c r="D15" s="9">
        <v>1.03</v>
      </c>
    </row>
    <row r="16" spans="1:4" x14ac:dyDescent="0.35">
      <c r="A16" s="8">
        <f t="shared" ca="1" si="0"/>
        <v>44459</v>
      </c>
      <c r="B16" s="9">
        <v>1.29</v>
      </c>
      <c r="C16" s="9">
        <v>1.52</v>
      </c>
      <c r="D16" s="9">
        <v>1.03</v>
      </c>
    </row>
    <row r="17" spans="1:4" x14ac:dyDescent="0.35">
      <c r="A17" s="8">
        <f t="shared" ca="1" si="0"/>
        <v>44458</v>
      </c>
      <c r="B17" s="9">
        <v>1.29</v>
      </c>
      <c r="C17" s="9">
        <v>1.51</v>
      </c>
      <c r="D17" s="9">
        <v>1.03</v>
      </c>
    </row>
    <row r="18" spans="1:4" x14ac:dyDescent="0.35">
      <c r="A18" s="8">
        <f t="shared" ca="1" si="0"/>
        <v>44457</v>
      </c>
      <c r="B18" s="9">
        <v>1.29</v>
      </c>
      <c r="C18" s="9">
        <v>1.51</v>
      </c>
      <c r="D18" s="9">
        <v>1.03</v>
      </c>
    </row>
    <row r="19" spans="1:4" x14ac:dyDescent="0.35">
      <c r="A19" s="8">
        <f t="shared" ca="1" si="0"/>
        <v>44456</v>
      </c>
      <c r="B19" s="9">
        <v>1.29</v>
      </c>
      <c r="C19" s="9">
        <v>1.51</v>
      </c>
      <c r="D19" s="9">
        <v>1.03</v>
      </c>
    </row>
    <row r="20" spans="1:4" x14ac:dyDescent="0.35">
      <c r="A20" s="8">
        <f t="shared" ca="1" si="0"/>
        <v>44455</v>
      </c>
      <c r="B20" s="9">
        <v>1.29</v>
      </c>
      <c r="C20" s="9">
        <v>1.51</v>
      </c>
      <c r="D20" s="9">
        <v>1.02</v>
      </c>
    </row>
    <row r="21" spans="1:4" x14ac:dyDescent="0.35">
      <c r="A21" s="8">
        <f t="shared" ca="1" si="0"/>
        <v>44454</v>
      </c>
      <c r="B21" s="9">
        <v>1.29</v>
      </c>
      <c r="C21" s="9">
        <v>1.51</v>
      </c>
      <c r="D21" s="9">
        <v>1.02</v>
      </c>
    </row>
    <row r="22" spans="1:4" x14ac:dyDescent="0.35">
      <c r="A22" s="8">
        <f t="shared" ca="1" si="0"/>
        <v>44453</v>
      </c>
      <c r="B22" s="9">
        <v>1.29</v>
      </c>
      <c r="C22" s="9">
        <v>1.51</v>
      </c>
      <c r="D22" s="9">
        <v>1.02</v>
      </c>
    </row>
    <row r="23" spans="1:4" x14ac:dyDescent="0.35">
      <c r="A23" s="8">
        <f t="shared" ca="1" si="0"/>
        <v>44452</v>
      </c>
      <c r="B23" s="9">
        <v>1.29</v>
      </c>
      <c r="C23" s="9">
        <v>1.5</v>
      </c>
      <c r="D23" s="9">
        <v>1.02</v>
      </c>
    </row>
    <row r="24" spans="1:4" x14ac:dyDescent="0.35">
      <c r="A24" s="8">
        <f t="shared" ca="1" si="0"/>
        <v>44451</v>
      </c>
      <c r="B24" s="9">
        <v>1.29</v>
      </c>
      <c r="C24" s="9">
        <v>1.5</v>
      </c>
      <c r="D24" s="9">
        <v>1.02</v>
      </c>
    </row>
    <row r="25" spans="1:4" x14ac:dyDescent="0.35">
      <c r="A25" s="8">
        <f t="shared" ca="1" si="0"/>
        <v>44450</v>
      </c>
      <c r="B25" s="9">
        <v>1.29</v>
      </c>
      <c r="C25" s="9">
        <v>1.49</v>
      </c>
      <c r="D25" s="9">
        <v>1.03</v>
      </c>
    </row>
    <row r="26" spans="1:4" x14ac:dyDescent="0.35">
      <c r="A26" s="8">
        <f t="shared" ca="1" si="0"/>
        <v>44449</v>
      </c>
      <c r="B26" s="9">
        <v>1.29</v>
      </c>
      <c r="C26" s="9">
        <v>1.49</v>
      </c>
      <c r="D26" s="9">
        <v>1.03</v>
      </c>
    </row>
    <row r="27" spans="1:4" x14ac:dyDescent="0.35">
      <c r="A27" s="8">
        <f t="shared" ca="1" si="0"/>
        <v>44448</v>
      </c>
      <c r="B27" s="9">
        <v>1.29</v>
      </c>
      <c r="C27" s="9">
        <v>1.49</v>
      </c>
      <c r="D27" s="9">
        <v>1.03</v>
      </c>
    </row>
    <row r="28" spans="1:4" x14ac:dyDescent="0.35">
      <c r="A28" s="8">
        <f t="shared" ca="1" si="0"/>
        <v>44447</v>
      </c>
      <c r="B28" s="9">
        <v>1.29</v>
      </c>
      <c r="C28" s="9">
        <v>1.49</v>
      </c>
      <c r="D28" s="9">
        <v>1.03</v>
      </c>
    </row>
    <row r="29" spans="1:4" x14ac:dyDescent="0.35">
      <c r="A29" s="8">
        <f t="shared" ca="1" si="0"/>
        <v>44446</v>
      </c>
      <c r="B29" s="9">
        <v>1.3</v>
      </c>
      <c r="C29" s="9">
        <v>1.49</v>
      </c>
      <c r="D29" s="9">
        <v>1.03</v>
      </c>
    </row>
    <row r="30" spans="1:4" x14ac:dyDescent="0.35">
      <c r="A30" s="8">
        <f t="shared" ca="1" si="0"/>
        <v>44445</v>
      </c>
      <c r="B30" s="9">
        <v>1.3</v>
      </c>
      <c r="C30" s="9">
        <v>1.48</v>
      </c>
      <c r="D30" s="9">
        <v>1.04</v>
      </c>
    </row>
    <row r="31" spans="1:4" x14ac:dyDescent="0.35">
      <c r="A31" s="8">
        <f t="shared" ca="1" si="0"/>
        <v>44444</v>
      </c>
      <c r="B31" s="9">
        <v>1.3</v>
      </c>
      <c r="C31" s="9">
        <v>1.48</v>
      </c>
      <c r="D31" s="9">
        <v>1.04</v>
      </c>
    </row>
    <row r="32" spans="1:4" x14ac:dyDescent="0.35">
      <c r="A32" s="8">
        <f t="shared" ca="1" si="0"/>
        <v>44443</v>
      </c>
      <c r="B32" s="9">
        <v>1.3</v>
      </c>
      <c r="C32" s="9">
        <v>1.47</v>
      </c>
      <c r="D32" s="9">
        <v>1.05</v>
      </c>
    </row>
    <row r="33" spans="1:4" x14ac:dyDescent="0.35">
      <c r="A33" s="8">
        <f t="shared" ca="1" si="0"/>
        <v>44442</v>
      </c>
      <c r="B33" s="9">
        <v>1.3</v>
      </c>
      <c r="C33" s="9">
        <v>1.47</v>
      </c>
      <c r="D33" s="9">
        <v>1.05</v>
      </c>
    </row>
  </sheetData>
  <mergeCells count="2">
    <mergeCell ref="B1:D1"/>
    <mergeCell ref="A1:A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8</vt:i4>
      </vt:variant>
    </vt:vector>
  </HeadingPairs>
  <TitlesOfParts>
    <vt:vector size="12" baseType="lpstr">
      <vt:lpstr>Extraction des données</vt:lpstr>
      <vt:lpstr>Infection</vt:lpstr>
      <vt:lpstr>Deces</vt:lpstr>
      <vt:lpstr>TauxDeces</vt:lpstr>
      <vt:lpstr>PAYS</vt:lpstr>
      <vt:lpstr>pays1</vt:lpstr>
      <vt:lpstr>pays2</vt:lpstr>
      <vt:lpstr>pays3</vt:lpstr>
      <vt:lpstr>rg_deces</vt:lpstr>
      <vt:lpstr>rg_infection</vt:lpstr>
      <vt:lpstr>rg_tauxdeces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 lam</dc:creator>
  <cp:lastModifiedBy>kenny lam</cp:lastModifiedBy>
  <dcterms:created xsi:type="dcterms:W3CDTF">2021-09-15T07:04:07Z</dcterms:created>
  <dcterms:modified xsi:type="dcterms:W3CDTF">2021-10-03T20:28:26Z</dcterms:modified>
</cp:coreProperties>
</file>